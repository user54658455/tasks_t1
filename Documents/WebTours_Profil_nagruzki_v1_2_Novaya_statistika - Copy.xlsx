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Автоматизированный расчет" sheetId="1" state="visible" r:id="rId3"/>
    <sheet name="Соответствие" sheetId="2" state="visible" r:id="rId4"/>
    <sheet name="SummaryReport" sheetId="3" state="visible" r:id="rId5"/>
    <sheet name="Результаты всех тестов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  <charset val="204"/>
          </rPr>
          <t xml:space="preserve">Duration - заполняется на основе данных после выполнения итерации соотвествующего скрипта в Vugen'е</t>
        </r>
      </text>
    </comment>
    <comment ref="O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  <charset val="204"/>
          </rPr>
          <t xml:space="preserve">ThinkTime - заполнятеся на основе ThinkTime'ов по выполнению одной итерации соотвествующего скрипта в Vugen'е</t>
        </r>
      </text>
    </comment>
    <comment ref="P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  <charset val="204"/>
          </rPr>
          <t xml:space="preserve">Общая длительность одной итерации скрипта ThinkTime + Duration, считается автоматически</t>
        </r>
      </text>
    </comment>
    <comment ref="Q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  <charset val="204"/>
          </rPr>
          <t xml:space="preserve">Pacing не должен быть меньше чем Duration + think time (столбец P). Изначально считается как Duration + think time * 2 (коэф запаса времени), далее подгоняется вручную</t>
        </r>
      </text>
    </comment>
    <comment ref="R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  <charset val="204"/>
          </rPr>
          <t xml:space="preserve">Количество пользователей для конкретного скрипта, заполняется вручную, сумма всех пользователей для 100% профиля не должна превышать 10.</t>
        </r>
      </text>
    </comment>
  </commentList>
</comments>
</file>

<file path=xl/sharedStrings.xml><?xml version="1.0" encoding="utf-8"?>
<sst xmlns="http://schemas.openxmlformats.org/spreadsheetml/2006/main" count="1085" uniqueCount="227">
  <si>
    <t xml:space="preserve">Script name</t>
  </si>
  <si>
    <t xml:space="preserve">transaction rq</t>
  </si>
  <si>
    <t xml:space="preserve">count</t>
  </si>
  <si>
    <t xml:space="preserve">VU</t>
  </si>
  <si>
    <t xml:space="preserve">pacing</t>
  </si>
  <si>
    <t xml:space="preserve">одним пользователем в минуту</t>
  </si>
  <si>
    <t xml:space="preserve">Длительность ступени</t>
  </si>
  <si>
    <t xml:space="preserve">Итого</t>
  </si>
  <si>
    <t xml:space="preserve">Сумма по полю Итого</t>
  </si>
  <si>
    <t xml:space="preserve">Операция (бизнес процесс)</t>
  </si>
  <si>
    <t xml:space="preserve">Duration</t>
  </si>
  <si>
    <t xml:space="preserve">Think_time</t>
  </si>
  <si>
    <t xml:space="preserve">Duration + Think_time</t>
  </si>
  <si>
    <t xml:space="preserve">Pacing</t>
  </si>
  <si>
    <t xml:space="preserve">% Распределения пользователей</t>
  </si>
  <si>
    <t xml:space="preserve">Jmeter, throughput per minute</t>
  </si>
  <si>
    <t xml:space="preserve">Длительность ступени в минутах</t>
  </si>
  <si>
    <t xml:space="preserve">Интенсивность операций</t>
  </si>
  <si>
    <t xml:space="preserve">Всего пользователей на ступени</t>
  </si>
  <si>
    <t xml:space="preserve">Покупка билета</t>
  </si>
  <si>
    <t xml:space="preserve">Главная Welcome страница</t>
  </si>
  <si>
    <t xml:space="preserve">Вход в систему</t>
  </si>
  <si>
    <t xml:space="preserve">Выбор рейса из найденных </t>
  </si>
  <si>
    <t xml:space="preserve">Удаление бронирования </t>
  </si>
  <si>
    <t xml:space="preserve">Переход на страницу поиска билетов</t>
  </si>
  <si>
    <t xml:space="preserve">Выход из системы</t>
  </si>
  <si>
    <t xml:space="preserve">Регистрация новых пользователей</t>
  </si>
  <si>
    <t xml:space="preserve">Заполнение полей для поиска билета </t>
  </si>
  <si>
    <t xml:space="preserve">Поиск билета без покупки</t>
  </si>
  <si>
    <t xml:space="preserve">Оплата билета</t>
  </si>
  <si>
    <t xml:space="preserve">Ознакомление с путевым листом</t>
  </si>
  <si>
    <t xml:space="preserve">Отмена бронирования </t>
  </si>
  <si>
    <t xml:space="preserve">Логин</t>
  </si>
  <si>
    <t xml:space="preserve">Просмотр квитанций</t>
  </si>
  <si>
    <t xml:space="preserve">Перход на страницу регистрации</t>
  </si>
  <si>
    <t xml:space="preserve">Заполнение полей регистарции</t>
  </si>
  <si>
    <t xml:space="preserve">Переход на следуюущий эран после регистарции</t>
  </si>
  <si>
    <t xml:space="preserve">Total Result</t>
  </si>
  <si>
    <t xml:space="preserve">Статистика с ПРОДа</t>
  </si>
  <si>
    <t xml:space="preserve">Профиль</t>
  </si>
  <si>
    <t xml:space="preserve">Название запроса</t>
  </si>
  <si>
    <t xml:space="preserve">Интенсивность по статистике запросов / час</t>
  </si>
  <si>
    <t xml:space="preserve">Расчетная интенсивность запросов / час</t>
  </si>
  <si>
    <t xml:space="preserve">% Соотвествия расчетанной интенсивности статистики</t>
  </si>
  <si>
    <t xml:space="preserve">ScriptName</t>
  </si>
  <si>
    <t xml:space="preserve">Расчетная интенсивность запросов / 20 мин</t>
  </si>
  <si>
    <t xml:space="preserve">Фактическая интенсивность в тесте</t>
  </si>
  <si>
    <t xml:space="preserve">% Отклонение от Профиля</t>
  </si>
  <si>
    <t xml:space="preserve">Операций/час = количество операций одним пользователем в час (60 * количество операций один пользователем в минуту (pacing / 60)) * кол-во пользователей</t>
  </si>
  <si>
    <t xml:space="preserve">Имя в статистике</t>
  </si>
  <si>
    <t xml:space="preserve">Имя в скрипте</t>
  </si>
  <si>
    <t xml:space="preserve">TF_home_page</t>
  </si>
  <si>
    <t xml:space="preserve">TF_login</t>
  </si>
  <si>
    <t xml:space="preserve">TF_flights</t>
  </si>
  <si>
    <t xml:space="preserve">TF_flights_find</t>
  </si>
  <si>
    <t xml:space="preserve">TF_choose_available_flight</t>
  </si>
  <si>
    <t xml:space="preserve">TF_payment_details</t>
  </si>
  <si>
    <t xml:space="preserve">TF_itinerary</t>
  </si>
  <si>
    <t xml:space="preserve">TF_itinerary_delete_one (first)</t>
  </si>
  <si>
    <t xml:space="preserve">TF_logout</t>
  </si>
  <si>
    <t xml:space="preserve">TF_open_register_page</t>
  </si>
  <si>
    <t xml:space="preserve">TF_fill_register_page</t>
  </si>
  <si>
    <t xml:space="preserve">TF_next_page_after_register_completion</t>
  </si>
  <si>
    <t xml:space="preserve">TC_login</t>
  </si>
  <si>
    <t xml:space="preserve">профиль для 10 пользователей (отладочный тест 22 мин)</t>
  </si>
  <si>
    <t xml:space="preserve">TC_logout</t>
  </si>
  <si>
    <t xml:space="preserve">Requests</t>
  </si>
  <si>
    <t xml:space="preserve">Executions</t>
  </si>
  <si>
    <t xml:space="preserve">Response Time (ms)</t>
  </si>
  <si>
    <t xml:space="preserve">TC_payment_details</t>
  </si>
  <si>
    <t xml:space="preserve">Total</t>
  </si>
  <si>
    <t xml:space="preserve">OK</t>
  </si>
  <si>
    <t xml:space="preserve">KO</t>
  </si>
  <si>
    <t xml:space="preserve">% KO</t>
  </si>
  <si>
    <t xml:space="preserve">Cnt/s</t>
  </si>
  <si>
    <t xml:space="preserve">Min</t>
  </si>
  <si>
    <t xml:space="preserve">50th pct</t>
  </si>
  <si>
    <t xml:space="preserve">75th pct</t>
  </si>
  <si>
    <t xml:space="preserve">90th pct</t>
  </si>
  <si>
    <t xml:space="preserve">99th pct</t>
  </si>
  <si>
    <t xml:space="preserve">Max</t>
  </si>
  <si>
    <t xml:space="preserve">Mean</t>
  </si>
  <si>
    <t xml:space="preserve">Std Dev</t>
  </si>
  <si>
    <t xml:space="preserve">TC_itinerary_delete_one (first)</t>
  </si>
  <si>
    <t xml:space="preserve">  All Requests </t>
  </si>
  <si>
    <t xml:space="preserve">0.00</t>
  </si>
  <si>
    <t xml:space="preserve">1.85</t>
  </si>
  <si>
    <t xml:space="preserve">TC_choose_available_flight</t>
  </si>
  <si>
    <t xml:space="preserve">  home_page </t>
  </si>
  <si>
    <t xml:space="preserve">0.15</t>
  </si>
  <si>
    <t xml:space="preserve">TC_itinerary</t>
  </si>
  <si>
    <t xml:space="preserve">  /WebTours/ </t>
  </si>
  <si>
    <t xml:space="preserve">TC_flights</t>
  </si>
  <si>
    <t xml:space="preserve">  /cgi-bin/welcome.pl </t>
  </si>
  <si>
    <t xml:space="preserve">TC_home_page</t>
  </si>
  <si>
    <t xml:space="preserve">  /cgi-bin/nav.pl </t>
  </si>
  <si>
    <t xml:space="preserve">TC_flights_find</t>
  </si>
  <si>
    <t xml:space="preserve">  login </t>
  </si>
  <si>
    <t xml:space="preserve">0.12</t>
  </si>
  <si>
    <t xml:space="preserve">TC_open_register_page</t>
  </si>
  <si>
    <t xml:space="preserve">  /cgi-bin/login.pl </t>
  </si>
  <si>
    <t xml:space="preserve">0.24</t>
  </si>
  <si>
    <t xml:space="preserve">TC_fill_register_page</t>
  </si>
  <si>
    <t xml:space="preserve">TC_next_page_after_register_completion</t>
  </si>
  <si>
    <t xml:space="preserve">  open_register_page </t>
  </si>
  <si>
    <t xml:space="preserve">0.03</t>
  </si>
  <si>
    <t xml:space="preserve">  fill_register_page </t>
  </si>
  <si>
    <t xml:space="preserve">  flights </t>
  </si>
  <si>
    <t xml:space="preserve">0.09</t>
  </si>
  <si>
    <t xml:space="preserve">  /cgi-bin/reservations.pl </t>
  </si>
  <si>
    <t xml:space="preserve">  itinerary </t>
  </si>
  <si>
    <t xml:space="preserve">0.08</t>
  </si>
  <si>
    <t xml:space="preserve">  /cgi-bin/itinerary.pl </t>
  </si>
  <si>
    <t xml:space="preserve">  logout </t>
  </si>
  <si>
    <t xml:space="preserve">  next_page_after_register_completion </t>
  </si>
  <si>
    <t xml:space="preserve">  flights_find </t>
  </si>
  <si>
    <t xml:space="preserve">  itinerary_delete </t>
  </si>
  <si>
    <t xml:space="preserve">0.02</t>
  </si>
  <si>
    <t xml:space="preserve">  choose_available_flight </t>
  </si>
  <si>
    <t xml:space="preserve">  payment_details </t>
  </si>
  <si>
    <t xml:space="preserve">0.05</t>
  </si>
  <si>
    <t xml:space="preserve">Сумма</t>
  </si>
  <si>
    <t xml:space="preserve">тест поиска максимальной производительности (6 ступень из 10 в тесте)</t>
  </si>
  <si>
    <t xml:space="preserve">37.54</t>
  </si>
  <si>
    <t xml:space="preserve">6.32</t>
  </si>
  <si>
    <t xml:space="preserve">39.27</t>
  </si>
  <si>
    <t xml:space="preserve">0.52</t>
  </si>
  <si>
    <t xml:space="preserve">39.04</t>
  </si>
  <si>
    <t xml:space="preserve">39.35</t>
  </si>
  <si>
    <t xml:space="preserve">39.30</t>
  </si>
  <si>
    <t xml:space="preserve">40.49</t>
  </si>
  <si>
    <t xml:space="preserve">0.43</t>
  </si>
  <si>
    <t xml:space="preserve">37.57</t>
  </si>
  <si>
    <t xml:space="preserve">0.82</t>
  </si>
  <si>
    <t xml:space="preserve">40.50</t>
  </si>
  <si>
    <t xml:space="preserve">39.80</t>
  </si>
  <si>
    <t xml:space="preserve">0.31</t>
  </si>
  <si>
    <t xml:space="preserve">39.95</t>
  </si>
  <si>
    <t xml:space="preserve">39.84</t>
  </si>
  <si>
    <t xml:space="preserve">39.83</t>
  </si>
  <si>
    <t xml:space="preserve">38.51</t>
  </si>
  <si>
    <t xml:space="preserve">0.27</t>
  </si>
  <si>
    <t xml:space="preserve">32.22</t>
  </si>
  <si>
    <t xml:space="preserve">38.55</t>
  </si>
  <si>
    <t xml:space="preserve">32.28</t>
  </si>
  <si>
    <t xml:space="preserve">35.60</t>
  </si>
  <si>
    <t xml:space="preserve">0.16</t>
  </si>
  <si>
    <t xml:space="preserve">29.70</t>
  </si>
  <si>
    <t xml:space="preserve">36.52</t>
  </si>
  <si>
    <t xml:space="preserve">0.26</t>
  </si>
  <si>
    <t xml:space="preserve">36.55</t>
  </si>
  <si>
    <t xml:space="preserve">36.56</t>
  </si>
  <si>
    <t xml:space="preserve">39.29</t>
  </si>
  <si>
    <t xml:space="preserve">0.32</t>
  </si>
  <si>
    <t xml:space="preserve">39.39</t>
  </si>
  <si>
    <t xml:space="preserve">39.33</t>
  </si>
  <si>
    <t xml:space="preserve">32.93</t>
  </si>
  <si>
    <t xml:space="preserve">32.91</t>
  </si>
  <si>
    <t xml:space="preserve">32.96</t>
  </si>
  <si>
    <t xml:space="preserve">32.99</t>
  </si>
  <si>
    <t xml:space="preserve">32.00</t>
  </si>
  <si>
    <t xml:space="preserve">0.06</t>
  </si>
  <si>
    <t xml:space="preserve">26.73</t>
  </si>
  <si>
    <t xml:space="preserve">Тест подтверждения максимума</t>
  </si>
  <si>
    <t xml:space="preserve">0.01</t>
  </si>
  <si>
    <t xml:space="preserve">9.47</t>
  </si>
  <si>
    <t xml:space="preserve">0.76</t>
  </si>
  <si>
    <t xml:space="preserve">0.62</t>
  </si>
  <si>
    <t xml:space="preserve">1.23</t>
  </si>
  <si>
    <t xml:space="preserve">0.44</t>
  </si>
  <si>
    <t xml:space="preserve">0.4</t>
  </si>
  <si>
    <t xml:space="preserve">0.25</t>
  </si>
  <si>
    <t xml:space="preserve">0.20</t>
  </si>
  <si>
    <t xml:space="preserve">0.47</t>
  </si>
  <si>
    <t xml:space="preserve">0.14</t>
  </si>
  <si>
    <t xml:space="preserve">0.11</t>
  </si>
  <si>
    <t xml:space="preserve">стресс тест пиковая производительность</t>
  </si>
  <si>
    <t xml:space="preserve">38.44</t>
  </si>
  <si>
    <t xml:space="preserve">0.91</t>
  </si>
  <si>
    <t xml:space="preserve">57.73</t>
  </si>
  <si>
    <t xml:space="preserve">55.82</t>
  </si>
  <si>
    <t xml:space="preserve">57.14</t>
  </si>
  <si>
    <t xml:space="preserve">52.33</t>
  </si>
  <si>
    <t xml:space="preserve">0.1</t>
  </si>
  <si>
    <t xml:space="preserve">55.94</t>
  </si>
  <si>
    <t xml:space="preserve">28.16</t>
  </si>
  <si>
    <t xml:space="preserve">54.75</t>
  </si>
  <si>
    <t xml:space="preserve">34.94</t>
  </si>
  <si>
    <t xml:space="preserve">25.00</t>
  </si>
  <si>
    <t xml:space="preserve">45.13</t>
  </si>
  <si>
    <t xml:space="preserve">42.96</t>
  </si>
  <si>
    <t xml:space="preserve">43.96</t>
  </si>
  <si>
    <t xml:space="preserve">0.04</t>
  </si>
  <si>
    <t xml:space="preserve">22.84</t>
  </si>
  <si>
    <t xml:space="preserve">24.54</t>
  </si>
  <si>
    <t xml:space="preserve">24.19</t>
  </si>
  <si>
    <t xml:space="preserve">23.66</t>
  </si>
  <si>
    <t xml:space="preserve">22.95</t>
  </si>
  <si>
    <t xml:space="preserve">15.98</t>
  </si>
  <si>
    <t xml:space="preserve">30.56</t>
  </si>
  <si>
    <t xml:space="preserve">27.78</t>
  </si>
  <si>
    <t xml:space="preserve">21.88</t>
  </si>
  <si>
    <t xml:space="preserve">22.29</t>
  </si>
  <si>
    <t xml:space="preserve">3.55</t>
  </si>
  <si>
    <t xml:space="preserve">13.64</t>
  </si>
  <si>
    <t xml:space="preserve">20.47</t>
  </si>
  <si>
    <t xml:space="preserve">0.73</t>
  </si>
  <si>
    <t xml:space="preserve">18.52</t>
  </si>
  <si>
    <t xml:space="preserve">стресс тест объемное тестирование</t>
  </si>
  <si>
    <t xml:space="preserve">0.17</t>
  </si>
  <si>
    <t xml:space="preserve">9.48</t>
  </si>
  <si>
    <t xml:space="preserve">1.53</t>
  </si>
  <si>
    <t xml:space="preserve">1.24</t>
  </si>
  <si>
    <t xml:space="preserve">1.57</t>
  </si>
  <si>
    <t xml:space="preserve">Jmeter</t>
  </si>
  <si>
    <t xml:space="preserve">Gatling</t>
  </si>
  <si>
    <t xml:space="preserve">Профиль для 10 пользователей</t>
  </si>
  <si>
    <t xml:space="preserve">Наименование операции</t>
  </si>
  <si>
    <t xml:space="preserve">Наименование транзакции</t>
  </si>
  <si>
    <t xml:space="preserve">По профилю</t>
  </si>
  <si>
    <t xml:space="preserve">По факту</t>
  </si>
  <si>
    <t xml:space="preserve">% отклонения</t>
  </si>
  <si>
    <t xml:space="preserve">Поиск максимума 4 ступень</t>
  </si>
  <si>
    <t xml:space="preserve">Поиск максимума 6 ступень</t>
  </si>
  <si>
    <t xml:space="preserve">Подтверждение максимума</t>
  </si>
  <si>
    <t xml:space="preserve">Стресс тест Пиковая производительность</t>
  </si>
  <si>
    <t xml:space="preserve">Стресс тест Объемное тестирование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</si>
</sst>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%"/>
    <numFmt numFmtId="168" formatCode="0.00%"/>
    <numFmt numFmtId="169" formatCode="[hh]:mm:ss"/>
    <numFmt numFmtId="170" formatCode="#,##0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 val="true"/>
      <sz val="11"/>
      <color rgb="FF000000"/>
      <name val="Calibri"/>
      <family val="2"/>
      <charset val="1"/>
    </font>
    <font>
      <sz val="11"/>
      <color rgb="FF9C6500"/>
      <name val="Calibri"/>
      <family val="2"/>
      <charset val="204"/>
    </font>
    <font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Times New Roman"/>
      <family val="1"/>
      <charset val="204"/>
    </font>
    <font>
      <b val="true"/>
      <sz val="14"/>
      <color rgb="FF000000"/>
      <name val="Times New Roman"/>
      <family val="1"/>
      <charset val="204"/>
    </font>
    <font>
      <sz val="10"/>
      <name val="Arial"/>
      <family val="2"/>
    </font>
    <font>
      <sz val="10"/>
      <color rgb="FF000000"/>
      <name val="Tahoma"/>
      <family val="2"/>
      <charset val="204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000000"/>
      <name val="Times New Roman"/>
      <family val="1"/>
      <charset val="128"/>
    </font>
  </fonts>
  <fills count="29">
    <fill>
      <patternFill patternType="none"/>
    </fill>
    <fill>
      <patternFill patternType="gray125"/>
    </fill>
    <fill>
      <patternFill patternType="solid">
        <fgColor rgb="FFDEEBF7"/>
        <bgColor rgb="FFDAE3F3"/>
      </patternFill>
    </fill>
    <fill>
      <patternFill patternType="solid">
        <fgColor rgb="FFFBE5D6"/>
        <bgColor rgb="FFFFF2CC"/>
      </patternFill>
    </fill>
    <fill>
      <patternFill patternType="solid">
        <fgColor rgb="FFEDEDED"/>
        <bgColor rgb="FFDEEBF7"/>
      </patternFill>
    </fill>
    <fill>
      <patternFill patternType="solid">
        <fgColor rgb="FFFFF2CC"/>
        <bgColor rgb="FFFFFFCC"/>
      </patternFill>
    </fill>
    <fill>
      <patternFill patternType="solid">
        <fgColor rgb="FFDAE3F3"/>
        <bgColor rgb="FFDEEBF7"/>
      </patternFill>
    </fill>
    <fill>
      <patternFill patternType="solid">
        <fgColor rgb="FFE2F0D9"/>
        <bgColor rgb="FFEDEDED"/>
      </patternFill>
    </fill>
    <fill>
      <patternFill patternType="solid">
        <fgColor rgb="FFBDD7EE"/>
        <bgColor rgb="FFB4C7E7"/>
      </patternFill>
    </fill>
    <fill>
      <patternFill patternType="solid">
        <fgColor rgb="FFF8CBAD"/>
        <bgColor rgb="FFFFE699"/>
      </patternFill>
    </fill>
    <fill>
      <patternFill patternType="solid">
        <fgColor rgb="FFDBDBDB"/>
        <bgColor rgb="FFD9D9D9"/>
      </patternFill>
    </fill>
    <fill>
      <patternFill patternType="solid">
        <fgColor rgb="FFFFE699"/>
        <bgColor rgb="FFFFEB9C"/>
      </patternFill>
    </fill>
    <fill>
      <patternFill patternType="solid">
        <fgColor rgb="FFB4C7E7"/>
        <bgColor rgb="FF9DC3E6"/>
      </patternFill>
    </fill>
    <fill>
      <patternFill patternType="solid">
        <fgColor rgb="FFC5E0B4"/>
        <bgColor rgb="FFD9D9D9"/>
      </patternFill>
    </fill>
    <fill>
      <patternFill patternType="solid">
        <fgColor rgb="FF9DC3E6"/>
        <bgColor rgb="FFB4C7E7"/>
      </patternFill>
    </fill>
    <fill>
      <patternFill patternType="solid">
        <fgColor rgb="FFF4B183"/>
        <bgColor rgb="FFF8CBAD"/>
      </patternFill>
    </fill>
    <fill>
      <patternFill patternType="solid">
        <fgColor rgb="FFC9C9C9"/>
        <bgColor rgb="FFD0CECE"/>
      </patternFill>
    </fill>
    <fill>
      <patternFill patternType="solid">
        <fgColor rgb="FFFFD966"/>
        <bgColor rgb="FFFFE699"/>
      </patternFill>
    </fill>
    <fill>
      <patternFill patternType="solid">
        <fgColor rgb="FF8FAADC"/>
        <bgColor rgb="FF9DC3E6"/>
      </patternFill>
    </fill>
    <fill>
      <patternFill patternType="solid">
        <fgColor rgb="FFA9D18E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D0CECE"/>
        <bgColor rgb="FFC9C9C9"/>
      </patternFill>
    </fill>
    <fill>
      <patternFill patternType="solid">
        <fgColor rgb="FFFFC000"/>
        <bgColor rgb="FFFFD966"/>
      </patternFill>
    </fill>
    <fill>
      <patternFill patternType="solid">
        <fgColor rgb="FFFFFF00"/>
        <bgColor rgb="FFFFD966"/>
      </patternFill>
    </fill>
    <fill>
      <patternFill patternType="solid">
        <fgColor rgb="FFD9D9D9"/>
        <bgColor rgb="FFDBDBDB"/>
      </patternFill>
    </fill>
    <fill>
      <patternFill patternType="solid">
        <fgColor rgb="FF81D41A"/>
        <bgColor rgb="FFA9D18E"/>
      </patternFill>
    </fill>
    <fill>
      <patternFill patternType="solid">
        <fgColor rgb="FFADB9CA"/>
        <bgColor rgb="FFB2B2B2"/>
      </patternFill>
    </fill>
    <fill>
      <patternFill patternType="solid">
        <fgColor rgb="FFFFFFFF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6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5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5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5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2" xfId="5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5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7" xfId="5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3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4" xfId="5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5" xfId="5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6" fillId="0" borderId="26" xfId="5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5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25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2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9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3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5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4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5" borderId="2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6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6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6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8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25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8" xfId="57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16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5" fillId="0" borderId="8" xfId="57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4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7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5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5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— акцент1 2" xfId="20"/>
    <cellStyle name="20% — акцент1 3" xfId="21"/>
    <cellStyle name="20% — акцент2 2" xfId="22"/>
    <cellStyle name="20% — акцент2 3" xfId="23"/>
    <cellStyle name="20% — акцент3 2" xfId="24"/>
    <cellStyle name="20% — акцент3 3" xfId="25"/>
    <cellStyle name="20% — акцент4 2" xfId="26"/>
    <cellStyle name="20% — акцент4 3" xfId="27"/>
    <cellStyle name="20% — акцент5 2" xfId="28"/>
    <cellStyle name="20% — акцент5 3" xfId="29"/>
    <cellStyle name="20% — акцент6 2" xfId="30"/>
    <cellStyle name="20% — акцент6 3" xfId="31"/>
    <cellStyle name="40% — акцент1 2" xfId="32"/>
    <cellStyle name="40% — акцент1 3" xfId="33"/>
    <cellStyle name="40% — акцент2 2" xfId="34"/>
    <cellStyle name="40% — акцент2 3" xfId="35"/>
    <cellStyle name="40% — акцент3 2" xfId="36"/>
    <cellStyle name="40% — акцент3 3" xfId="37"/>
    <cellStyle name="40% — акцент4 2" xfId="38"/>
    <cellStyle name="40% — акцент4 3" xfId="39"/>
    <cellStyle name="40% — акцент5 2" xfId="40"/>
    <cellStyle name="40% — акцент5 3" xfId="41"/>
    <cellStyle name="40% — акцент6 2" xfId="42"/>
    <cellStyle name="40% — акцент6 3" xfId="43"/>
    <cellStyle name="60% — акцент1 2" xfId="44"/>
    <cellStyle name="60% — акцент2 2" xfId="45"/>
    <cellStyle name="60% — акцент3 2" xfId="46"/>
    <cellStyle name="60% — акцент4 2" xfId="47"/>
    <cellStyle name="60% — акцент5 2" xfId="48"/>
    <cellStyle name="60% — акцент6 2" xfId="49"/>
    <cellStyle name="Pivot Table Category" xfId="50"/>
    <cellStyle name="Pivot Table Corner" xfId="51"/>
    <cellStyle name="Pivot Table Field" xfId="52"/>
    <cellStyle name="Pivot Table Result" xfId="53"/>
    <cellStyle name="Pivot Table Title" xfId="54"/>
    <cellStyle name="Pivot Table Value" xfId="55"/>
    <cellStyle name="Нейтральный 2" xfId="56"/>
    <cellStyle name="Обычный 2" xfId="57"/>
    <cellStyle name="Обычный 3" xfId="58"/>
    <cellStyle name="Обычный 4" xfId="59"/>
    <cellStyle name="Обычный 5" xfId="60"/>
    <cellStyle name="Примечание 2" xfId="61"/>
    <cellStyle name="Примечание 3" xfId="62"/>
    <cellStyle name="Примечание 4" xfId="63"/>
  </cellStyles>
  <colors>
    <indexedColors>
      <rgbColor rgb="FF000000"/>
      <rgbColor rgb="FFFFFFFF"/>
      <rgbColor rgb="FFFF0000"/>
      <rgbColor rgb="FFFFF2CC"/>
      <rgbColor rgb="FF0000FF"/>
      <rgbColor rgb="FFFFFF00"/>
      <rgbColor rgb="FFFF00FF"/>
      <rgbColor rgb="FFEDEDED"/>
      <rgbColor rgb="FF800000"/>
      <rgbColor rgb="FF008000"/>
      <rgbColor rgb="FF000080"/>
      <rgbColor rgb="FF9C6500"/>
      <rgbColor rgb="FF800080"/>
      <rgbColor rgb="FF008080"/>
      <rgbColor rgb="FFBFBFBF"/>
      <rgbColor rgb="FFA9D18E"/>
      <rgbColor rgb="FF8FAADC"/>
      <rgbColor rgb="FF993366"/>
      <rgbColor rgb="FFFFFFCC"/>
      <rgbColor rgb="FFDEEBF7"/>
      <rgbColor rgb="FF660066"/>
      <rgbColor rgb="FFC9C9C9"/>
      <rgbColor rgb="FF0066CC"/>
      <rgbColor rgb="FFBDD7EE"/>
      <rgbColor rgb="FF000080"/>
      <rgbColor rgb="FFFF00FF"/>
      <rgbColor rgb="FFFFD966"/>
      <rgbColor rgb="FFFBE5D6"/>
      <rgbColor rgb="FF800080"/>
      <rgbColor rgb="FF800000"/>
      <rgbColor rgb="FF008080"/>
      <rgbColor rgb="FF0000FF"/>
      <rgbColor rgb="FFDBDBDB"/>
      <rgbColor rgb="FFDAE3F3"/>
      <rgbColor rgb="FFE2F0D9"/>
      <rgbColor rgb="FFFFEB9C"/>
      <rgbColor rgb="FF9DC3E6"/>
      <rgbColor rgb="FFF4B183"/>
      <rgbColor rgb="FFADB9CA"/>
      <rgbColor rgb="FFF8CBAD"/>
      <rgbColor rgb="FF3366FF"/>
      <rgbColor rgb="FFB4C7E7"/>
      <rgbColor rgb="FF81D41A"/>
      <rgbColor rgb="FFFFC000"/>
      <rgbColor rgb="FFFFE699"/>
      <rgbColor rgb="FFD9D9D9"/>
      <rgbColor rgb="FFD0CECE"/>
      <rgbColor rgb="FFB2B2B2"/>
      <rgbColor rgb="FF003366"/>
      <rgbColor rgb="FFC5E0B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4" createdVersion="3">
  <cacheSource type="worksheet">
    <worksheetSource ref="A1:H35" sheet="Автоматизированный расчет"/>
  </cacheSource>
  <cacheFields count="8">
    <cacheField name="Script name" numFmtId="0">
      <sharedItems count="6">
        <s v="Логин"/>
        <s v="Ознакомление с путевым листом"/>
        <s v="Поиск билета без покупки"/>
        <s v="Покупка билета"/>
        <s v="Регистрация новых пользователей"/>
        <s v="Удаление бронирования "/>
      </sharedItems>
    </cacheField>
    <cacheField name="transaction rq" numFmtId="0">
      <sharedItems count="12">
        <s v="Вход в систему"/>
        <s v="Выбор рейса из найденных "/>
        <s v="Выход из системы"/>
        <s v="Главная Welcome страница"/>
        <s v="Заполнение полей для поиска билета "/>
        <s v="Заполнение полей регистарции"/>
        <s v="Оплата билета"/>
        <s v="Отмена бронирования "/>
        <s v="Переход на следуюущий эран после регистарции"/>
        <s v="Переход на страницу поиска билетов"/>
        <s v="Перход на страницу регистрации"/>
        <s v="Просмотр квитанций"/>
      </sharedItems>
    </cacheField>
    <cacheField name="count" numFmtId="0">
      <sharedItems containsSemiMixedTypes="0" containsString="0" containsNumber="1" containsInteger="1" minValue="0" maxValue="1" count="2">
        <n v="0"/>
        <n v="1"/>
      </sharedItems>
    </cacheField>
    <cacheField name="VU" numFmtId="0">
      <sharedItems containsSemiMixedTypes="0" containsString="0" containsNumber="1" containsInteger="1" minValue="1" maxValue="4" count="3">
        <n v="1"/>
        <n v="2"/>
        <n v="4"/>
      </sharedItems>
    </cacheField>
    <cacheField name="pacing" numFmtId="0">
      <sharedItems containsSemiMixedTypes="0" containsString="0" containsNumber="1" minValue="36.4" maxValue="120.6" count="6">
        <n v="36.4"/>
        <n v="48.6"/>
        <n v="70.6"/>
        <n v="76.2"/>
        <n v="82.8"/>
        <n v="120.6"/>
      </sharedItems>
    </cacheField>
    <cacheField name="одним пользователем в минуту" numFmtId="0">
      <sharedItems containsSemiMixedTypes="0" containsString="0" containsNumber="1" minValue="0" maxValue="1.64835164835165" count="7">
        <n v="0"/>
        <n v="0.497512437810945"/>
        <n v="0.72463768115942"/>
        <n v="0.78740157480315"/>
        <n v="0.84985835694051"/>
        <n v="1.23456790123457"/>
        <n v="1.64835164835165"/>
      </sharedItems>
    </cacheField>
    <cacheField name="Длительность ступени" numFmtId="0">
      <sharedItems containsSemiMixedTypes="0" containsString="0" containsNumber="1" containsInteger="1" minValue="20" maxValue="20" count="1">
        <n v="20"/>
      </sharedItems>
    </cacheField>
    <cacheField name="Итого" numFmtId="0">
      <sharedItems containsSemiMixedTypes="0" containsString="0" containsNumber="1" minValue="0" maxValue="57.9710144927536" count="7">
        <n v="0"/>
        <n v="9.95024875621891"/>
        <n v="15.748031496063"/>
        <n v="24.6913580246914"/>
        <n v="32.967032967033"/>
        <n v="33.9943342776204"/>
        <n v="57.971014492753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3"/>
    <x v="3"/>
    <x v="1"/>
    <x v="2"/>
    <x v="4"/>
    <x v="2"/>
    <x v="0"/>
    <x v="6"/>
  </r>
  <r>
    <x v="3"/>
    <x v="0"/>
    <x v="1"/>
    <x v="2"/>
    <x v="4"/>
    <x v="2"/>
    <x v="0"/>
    <x v="6"/>
  </r>
  <r>
    <x v="3"/>
    <x v="9"/>
    <x v="1"/>
    <x v="2"/>
    <x v="4"/>
    <x v="2"/>
    <x v="0"/>
    <x v="6"/>
  </r>
  <r>
    <x v="3"/>
    <x v="4"/>
    <x v="1"/>
    <x v="2"/>
    <x v="4"/>
    <x v="2"/>
    <x v="0"/>
    <x v="6"/>
  </r>
  <r>
    <x v="3"/>
    <x v="1"/>
    <x v="1"/>
    <x v="2"/>
    <x v="4"/>
    <x v="2"/>
    <x v="0"/>
    <x v="6"/>
  </r>
  <r>
    <x v="3"/>
    <x v="6"/>
    <x v="1"/>
    <x v="2"/>
    <x v="4"/>
    <x v="2"/>
    <x v="0"/>
    <x v="6"/>
  </r>
  <r>
    <x v="3"/>
    <x v="11"/>
    <x v="1"/>
    <x v="2"/>
    <x v="4"/>
    <x v="2"/>
    <x v="0"/>
    <x v="6"/>
  </r>
  <r>
    <x v="3"/>
    <x v="2"/>
    <x v="1"/>
    <x v="2"/>
    <x v="4"/>
    <x v="2"/>
    <x v="0"/>
    <x v="6"/>
  </r>
  <r>
    <x v="5"/>
    <x v="3"/>
    <x v="1"/>
    <x v="0"/>
    <x v="1"/>
    <x v="5"/>
    <x v="0"/>
    <x v="3"/>
  </r>
  <r>
    <x v="5"/>
    <x v="0"/>
    <x v="1"/>
    <x v="0"/>
    <x v="1"/>
    <x v="5"/>
    <x v="0"/>
    <x v="3"/>
  </r>
  <r>
    <x v="5"/>
    <x v="11"/>
    <x v="1"/>
    <x v="0"/>
    <x v="1"/>
    <x v="5"/>
    <x v="0"/>
    <x v="3"/>
  </r>
  <r>
    <x v="5"/>
    <x v="7"/>
    <x v="1"/>
    <x v="0"/>
    <x v="1"/>
    <x v="5"/>
    <x v="0"/>
    <x v="3"/>
  </r>
  <r>
    <x v="5"/>
    <x v="2"/>
    <x v="1"/>
    <x v="0"/>
    <x v="1"/>
    <x v="5"/>
    <x v="0"/>
    <x v="3"/>
  </r>
  <r>
    <x v="4"/>
    <x v="3"/>
    <x v="1"/>
    <x v="0"/>
    <x v="0"/>
    <x v="6"/>
    <x v="0"/>
    <x v="4"/>
  </r>
  <r>
    <x v="4"/>
    <x v="10"/>
    <x v="1"/>
    <x v="0"/>
    <x v="0"/>
    <x v="6"/>
    <x v="0"/>
    <x v="4"/>
  </r>
  <r>
    <x v="4"/>
    <x v="5"/>
    <x v="1"/>
    <x v="0"/>
    <x v="0"/>
    <x v="6"/>
    <x v="0"/>
    <x v="4"/>
  </r>
  <r>
    <x v="4"/>
    <x v="8"/>
    <x v="1"/>
    <x v="0"/>
    <x v="0"/>
    <x v="6"/>
    <x v="0"/>
    <x v="4"/>
  </r>
  <r>
    <x v="4"/>
    <x v="2"/>
    <x v="0"/>
    <x v="0"/>
    <x v="0"/>
    <x v="0"/>
    <x v="0"/>
    <x v="0"/>
  </r>
  <r>
    <x v="0"/>
    <x v="3"/>
    <x v="1"/>
    <x v="0"/>
    <x v="3"/>
    <x v="3"/>
    <x v="0"/>
    <x v="2"/>
  </r>
  <r>
    <x v="0"/>
    <x v="0"/>
    <x v="1"/>
    <x v="0"/>
    <x v="3"/>
    <x v="3"/>
    <x v="0"/>
    <x v="2"/>
  </r>
  <r>
    <x v="0"/>
    <x v="11"/>
    <x v="0"/>
    <x v="0"/>
    <x v="3"/>
    <x v="0"/>
    <x v="0"/>
    <x v="0"/>
  </r>
  <r>
    <x v="0"/>
    <x v="2"/>
    <x v="1"/>
    <x v="0"/>
    <x v="3"/>
    <x v="3"/>
    <x v="0"/>
    <x v="2"/>
  </r>
  <r>
    <x v="2"/>
    <x v="3"/>
    <x v="1"/>
    <x v="1"/>
    <x v="2"/>
    <x v="4"/>
    <x v="0"/>
    <x v="5"/>
  </r>
  <r>
    <x v="2"/>
    <x v="0"/>
    <x v="1"/>
    <x v="1"/>
    <x v="2"/>
    <x v="4"/>
    <x v="0"/>
    <x v="5"/>
  </r>
  <r>
    <x v="2"/>
    <x v="9"/>
    <x v="1"/>
    <x v="1"/>
    <x v="2"/>
    <x v="4"/>
    <x v="0"/>
    <x v="5"/>
  </r>
  <r>
    <x v="2"/>
    <x v="4"/>
    <x v="1"/>
    <x v="1"/>
    <x v="2"/>
    <x v="4"/>
    <x v="0"/>
    <x v="5"/>
  </r>
  <r>
    <x v="2"/>
    <x v="1"/>
    <x v="1"/>
    <x v="1"/>
    <x v="2"/>
    <x v="4"/>
    <x v="0"/>
    <x v="5"/>
  </r>
  <r>
    <x v="2"/>
    <x v="11"/>
    <x v="0"/>
    <x v="1"/>
    <x v="2"/>
    <x v="0"/>
    <x v="0"/>
    <x v="0"/>
  </r>
  <r>
    <x v="2"/>
    <x v="2"/>
    <x v="0"/>
    <x v="1"/>
    <x v="2"/>
    <x v="0"/>
    <x v="0"/>
    <x v="0"/>
  </r>
  <r>
    <x v="1"/>
    <x v="3"/>
    <x v="1"/>
    <x v="0"/>
    <x v="5"/>
    <x v="1"/>
    <x v="0"/>
    <x v="1"/>
  </r>
  <r>
    <x v="1"/>
    <x v="0"/>
    <x v="1"/>
    <x v="0"/>
    <x v="5"/>
    <x v="1"/>
    <x v="0"/>
    <x v="1"/>
  </r>
  <r>
    <x v="1"/>
    <x v="9"/>
    <x v="1"/>
    <x v="0"/>
    <x v="5"/>
    <x v="1"/>
    <x v="0"/>
    <x v="1"/>
  </r>
  <r>
    <x v="1"/>
    <x v="11"/>
    <x v="1"/>
    <x v="0"/>
    <x v="5"/>
    <x v="1"/>
    <x v="0"/>
    <x v="1"/>
  </r>
  <r>
    <x v="1"/>
    <x v="2"/>
    <x v="1"/>
    <x v="0"/>
    <x v="5"/>
    <x v="1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I1:J14" firstHeaderRow="1" firstDataRow="1" firstDataCol="1"/>
  <pivotFields count="8">
    <pivotField compact="0" showAll="0"/>
    <pivotField axis="axisRow" compact="0" showAll="0" defaultSubtotal="0">
      <items count="12">
        <item x="0"/>
        <item x="1"/>
        <item x="2"/>
        <item x="4"/>
        <item x="6"/>
        <item x="7"/>
        <item x="11"/>
        <item x="3"/>
        <item x="10"/>
        <item x="5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"/>
  </rowFields>
  <dataFields count="1">
    <dataField name="Сумма по полю Итого" fld="7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../../../../b/projects/java/tasks/t1/gatling-maven-plugin-demo-java-main/gatling-maven-plugin-demo-java-main/target/gatling/allscenarios-20250429233813821/index.html" TargetMode="External"/><Relationship Id="rId2" Type="http://schemas.openxmlformats.org/officeDocument/2006/relationships/hyperlink" Target="../../../../../../../b/projects/java/tasks/t1/gatling-maven-plugin-demo-java-main/gatling-maven-plugin-demo-java-main/target/gatling/allscenarios-20250429233813821/group_home-page-2118081007.html" TargetMode="External"/><Relationship Id="rId3" Type="http://schemas.openxmlformats.org/officeDocument/2006/relationships/hyperlink" Target="../../../../../../../b/projects/java/tasks/t1/gatling-maven-plugin-demo-java-main/gatling-maven-plugin-demo-java-main/target/gatling/allscenarios-20250429233813821/req_home-page----we--1103227237.html" TargetMode="External"/><Relationship Id="rId4" Type="http://schemas.openxmlformats.org/officeDocument/2006/relationships/hyperlink" Target="../../../../../../../b/projects/java/tasks/t1/gatling-maven-plugin-demo-java-main/gatling-maven-plugin-demo-java-main/target/gatling/allscenarios-20250429233813821/req_home-page----cg--540620315.html" TargetMode="External"/><Relationship Id="rId5" Type="http://schemas.openxmlformats.org/officeDocument/2006/relationships/hyperlink" Target="../../../../../../../b/projects/java/tasks/t1/gatling-maven-plugin-demo-java-main/gatling-maven-plugin-demo-java-main/target/gatling/allscenarios-20250429233813821/req_home-page----cg-1870712580.html" TargetMode="External"/><Relationship Id="rId6" Type="http://schemas.openxmlformats.org/officeDocument/2006/relationships/hyperlink" Target="../../../../../../../b/projects/java/tasks/t1/gatling-maven-plugin-demo-java-main/gatling-maven-plugin-demo-java-main/target/gatling/allscenarios-20250429233813821/group_login-103149417.html" TargetMode="External"/><Relationship Id="rId7" Type="http://schemas.openxmlformats.org/officeDocument/2006/relationships/hyperlink" Target="../../../../../../../b/projects/java/tasks/t1/gatling-maven-plugin-demo-java-main/gatling-maven-plugin-demo-java-main/target/gatling/allscenarios-20250429233813821/req_login----cgi-bi-833752120.html" TargetMode="External"/><Relationship Id="rId8" Type="http://schemas.openxmlformats.org/officeDocument/2006/relationships/hyperlink" Target="../../../../../../../b/projects/java/tasks/t1/gatling-maven-plugin-demo-java-main/gatling-maven-plugin-demo-java-main/target/gatling/allscenarios-20250429233813821/req_login----cgi-bi-939440638.html" TargetMode="External"/><Relationship Id="rId9" Type="http://schemas.openxmlformats.org/officeDocument/2006/relationships/hyperlink" Target="../../../../../../../b/projects/java/tasks/t1/gatling-maven-plugin-demo-java-main/gatling-maven-plugin-demo-java-main/target/gatling/allscenarios-20250429233813821/group_open-register-p--1629894282.html" TargetMode="External"/><Relationship Id="rId10" Type="http://schemas.openxmlformats.org/officeDocument/2006/relationships/hyperlink" Target="../../../../../../../b/projects/java/tasks/t1/gatling-maven-plugin-demo-java-main/gatling-maven-plugin-demo-java-main/target/gatling/allscenarios-20250429233813821/req_open-register-p-1471765957.html" TargetMode="External"/><Relationship Id="rId11" Type="http://schemas.openxmlformats.org/officeDocument/2006/relationships/hyperlink" Target="../../../../../../../b/projects/java/tasks/t1/gatling-maven-plugin-demo-java-main/gatling-maven-plugin-demo-java-main/target/gatling/allscenarios-20250429233813821/group_fill-register-p--128319249.html" TargetMode="External"/><Relationship Id="rId12" Type="http://schemas.openxmlformats.org/officeDocument/2006/relationships/hyperlink" Target="../../../../../../../b/projects/java/tasks/t1/gatling-maven-plugin-demo-java-main/gatling-maven-plugin-demo-java-main/target/gatling/allscenarios-20250429233813821/req_fill-register-p--1035723074.html" TargetMode="External"/><Relationship Id="rId13" Type="http://schemas.openxmlformats.org/officeDocument/2006/relationships/hyperlink" Target="../../../../../../../b/projects/java/tasks/t1/gatling-maven-plugin-demo-java-main/gatling-maven-plugin-demo-java-main/target/gatling/allscenarios-20250429233813821/group_flights--771814909.html" TargetMode="External"/><Relationship Id="rId14" Type="http://schemas.openxmlformats.org/officeDocument/2006/relationships/hyperlink" Target="../../../../../../../b/projects/java/tasks/t1/gatling-maven-plugin-demo-java-main/gatling-maven-plugin-demo-java-main/target/gatling/allscenarios-20250429233813821/req_flights----cgi--797078265.html" TargetMode="External"/><Relationship Id="rId15" Type="http://schemas.openxmlformats.org/officeDocument/2006/relationships/hyperlink" Target="../../../../../../../b/projects/java/tasks/t1/gatling-maven-plugin-demo-java-main/gatling-maven-plugin-demo-java-main/target/gatling/allscenarios-20250429233813821/req_flights----cgi--637805080.html" TargetMode="External"/><Relationship Id="rId16" Type="http://schemas.openxmlformats.org/officeDocument/2006/relationships/hyperlink" Target="../../../../../../../b/projects/java/tasks/t1/gatling-maven-plugin-demo-java-main/gatling-maven-plugin-demo-java-main/target/gatling/allscenarios-20250429233813821/req_flights----cgi--1000638162.html" TargetMode="External"/><Relationship Id="rId17" Type="http://schemas.openxmlformats.org/officeDocument/2006/relationships/hyperlink" Target="../../../../../../../b/projects/java/tasks/t1/gatling-maven-plugin-demo-java-main/gatling-maven-plugin-demo-java-main/target/gatling/allscenarios-20250429233813821/group_itinerary-1442959627.html" TargetMode="External"/><Relationship Id="rId18" Type="http://schemas.openxmlformats.org/officeDocument/2006/relationships/hyperlink" Target="../../../../../../../b/projects/java/tasks/t1/gatling-maven-plugin-demo-java-main/gatling-maven-plugin-demo-java-main/target/gatling/allscenarios-20250429233813821/req_itinerary----cg--978140159.html" TargetMode="External"/><Relationship Id="rId19" Type="http://schemas.openxmlformats.org/officeDocument/2006/relationships/hyperlink" Target="../../../../../../../b/projects/java/tasks/t1/gatling-maven-plugin-demo-java-main/gatling-maven-plugin-demo-java-main/target/gatling/allscenarios-20250429233813821/req_itinerary----cg--361289864.html" TargetMode="External"/><Relationship Id="rId20" Type="http://schemas.openxmlformats.org/officeDocument/2006/relationships/hyperlink" Target="../../../../../../../b/projects/java/tasks/t1/gatling-maven-plugin-demo-java-main/gatling-maven-plugin-demo-java-main/target/gatling/allscenarios-20250429233813821/req_itinerary----cg-1289107232.html" TargetMode="External"/><Relationship Id="rId21" Type="http://schemas.openxmlformats.org/officeDocument/2006/relationships/hyperlink" Target="../../../../../../../b/projects/java/tasks/t1/gatling-maven-plugin-demo-java-main/gatling-maven-plugin-demo-java-main/target/gatling/allscenarios-20250429233813821/group_logout--1097329270.html" TargetMode="External"/><Relationship Id="rId22" Type="http://schemas.openxmlformats.org/officeDocument/2006/relationships/hyperlink" Target="../../../../../../../b/projects/java/tasks/t1/gatling-maven-plugin-demo-java-main/gatling-maven-plugin-demo-java-main/target/gatling/allscenarios-20250429233813821/req_logout----cgi-b--182907072.html" TargetMode="External"/><Relationship Id="rId23" Type="http://schemas.openxmlformats.org/officeDocument/2006/relationships/hyperlink" Target="../../../../../../../b/projects/java/tasks/t1/gatling-maven-plugin-demo-java-main/gatling-maven-plugin-demo-java-main/target/gatling/allscenarios-20250429233813821/req_logout----cgi-b-1164573151.html" TargetMode="External"/><Relationship Id="rId24" Type="http://schemas.openxmlformats.org/officeDocument/2006/relationships/hyperlink" Target="../../../../../../../b/projects/java/tasks/t1/gatling-maven-plugin-demo-java-main/gatling-maven-plugin-demo-java-main/target/gatling/allscenarios-20250429233813821/group_next-page-after-587063601.html" TargetMode="External"/><Relationship Id="rId25" Type="http://schemas.openxmlformats.org/officeDocument/2006/relationships/hyperlink" Target="../../../../../../../b/projects/java/tasks/t1/gatling-maven-plugin-demo-java-main/gatling-maven-plugin-demo-java-main/target/gatling/allscenarios-20250429233813821/req_next-page-after--1969253465.html" TargetMode="External"/><Relationship Id="rId26" Type="http://schemas.openxmlformats.org/officeDocument/2006/relationships/hyperlink" Target="../../../../../../../b/projects/java/tasks/t1/gatling-maven-plugin-demo-java-main/gatling-maven-plugin-demo-java-main/target/gatling/allscenarios-20250429233813821/req_next-page-after--2143761978.html" TargetMode="External"/><Relationship Id="rId27" Type="http://schemas.openxmlformats.org/officeDocument/2006/relationships/hyperlink" Target="../../../../../../../b/projects/java/tasks/t1/gatling-maven-plugin-demo-java-main/gatling-maven-plugin-demo-java-main/target/gatling/allscenarios-20250429233813821/req_next-page-after-1403472384.html" TargetMode="External"/><Relationship Id="rId28" Type="http://schemas.openxmlformats.org/officeDocument/2006/relationships/hyperlink" Target="../../../../../../../b/projects/java/tasks/t1/gatling-maven-plugin-demo-java-main/gatling-maven-plugin-demo-java-main/target/gatling/allscenarios-20250429233813821/group_flights-find--1335857547.html" TargetMode="External"/><Relationship Id="rId29" Type="http://schemas.openxmlformats.org/officeDocument/2006/relationships/hyperlink" Target="../../../../../../../b/projects/java/tasks/t1/gatling-maven-plugin-demo-java-main/gatling-maven-plugin-demo-java-main/target/gatling/allscenarios-20250429233813821/req_flights-find----1285155616.html" TargetMode="External"/><Relationship Id="rId30" Type="http://schemas.openxmlformats.org/officeDocument/2006/relationships/hyperlink" Target="../../../../../../../b/projects/java/tasks/t1/gatling-maven-plugin-demo-java-main/gatling-maven-plugin-demo-java-main/target/gatling/allscenarios-20250429233813821/group_itinerary-delet--1257996449.html" TargetMode="External"/><Relationship Id="rId31" Type="http://schemas.openxmlformats.org/officeDocument/2006/relationships/hyperlink" Target="../../../../../../../b/projects/java/tasks/t1/gatling-maven-plugin-demo-java-main/gatling-maven-plugin-demo-java-main/target/gatling/allscenarios-20250429233813821/req_itinerary-delet-396958156.html" TargetMode="External"/><Relationship Id="rId32" Type="http://schemas.openxmlformats.org/officeDocument/2006/relationships/hyperlink" Target="../../../../../../../b/projects/java/tasks/t1/gatling-maven-plugin-demo-java-main/gatling-maven-plugin-demo-java-main/target/gatling/allscenarios-20250429233813821/group_choose-availabl-1969156046.html" TargetMode="External"/><Relationship Id="rId33" Type="http://schemas.openxmlformats.org/officeDocument/2006/relationships/hyperlink" Target="../../../../../../../b/projects/java/tasks/t1/gatling-maven-plugin-demo-java-main/gatling-maven-plugin-demo-java-main/target/gatling/allscenarios-20250429233813821/req_choose-availabl-1715362343.html" TargetMode="External"/><Relationship Id="rId34" Type="http://schemas.openxmlformats.org/officeDocument/2006/relationships/hyperlink" Target="../../../../../../../b/projects/java/tasks/t1/gatling-maven-plugin-demo-java-main/gatling-maven-plugin-demo-java-main/target/gatling/allscenarios-20250429233813821/group_payment-details--1244830455.html" TargetMode="External"/><Relationship Id="rId35" Type="http://schemas.openxmlformats.org/officeDocument/2006/relationships/hyperlink" Target="../../../../../../../b/projects/java/tasks/t1/gatling-maven-plugin-demo-java-main/gatling-maven-plugin-demo-java-main/target/gatling/allscenarios-20250429233813821/req_payment-details-1503361036.html" TargetMode="External"/><Relationship Id="rId36" Type="http://schemas.openxmlformats.org/officeDocument/2006/relationships/hyperlink" Target="../../../../../../../b/projects/java/tasks/t1/gatling-maven-plugin-demo-java-main/gatling-maven-plugin-demo-java-main/target/gatling/allscenarios-20250430135757136/index.html" TargetMode="External"/><Relationship Id="rId37" Type="http://schemas.openxmlformats.org/officeDocument/2006/relationships/hyperlink" Target="../../../../../../../b/projects/java/tasks/t1/gatling-maven-plugin-demo-java-main/gatling-maven-plugin-demo-java-main/target/gatling/allscenarios-20250430135757136/group_home-page-2118081007.html" TargetMode="External"/><Relationship Id="rId38" Type="http://schemas.openxmlformats.org/officeDocument/2006/relationships/hyperlink" Target="../../../../../../../b/projects/java/tasks/t1/gatling-maven-plugin-demo-java-main/gatling-maven-plugin-demo-java-main/target/gatling/allscenarios-20250430135757136/req_home-page----we--1103227237.html" TargetMode="External"/><Relationship Id="rId39" Type="http://schemas.openxmlformats.org/officeDocument/2006/relationships/hyperlink" Target="../../../../../../../b/projects/java/tasks/t1/gatling-maven-plugin-demo-java-main/gatling-maven-plugin-demo-java-main/target/gatling/allscenarios-20250430135757136/req_home-page----cg--540620315.html" TargetMode="External"/><Relationship Id="rId40" Type="http://schemas.openxmlformats.org/officeDocument/2006/relationships/hyperlink" Target="../../../../../../../b/projects/java/tasks/t1/gatling-maven-plugin-demo-java-main/gatling-maven-plugin-demo-java-main/target/gatling/allscenarios-20250430135757136/req_home-page----cg-1870712580.html" TargetMode="External"/><Relationship Id="rId41" Type="http://schemas.openxmlformats.org/officeDocument/2006/relationships/hyperlink" Target="../../../../../../../b/projects/java/tasks/t1/gatling-maven-plugin-demo-java-main/gatling-maven-plugin-demo-java-main/target/gatling/allscenarios-20250430135757136/group_login-103149417.html" TargetMode="External"/><Relationship Id="rId42" Type="http://schemas.openxmlformats.org/officeDocument/2006/relationships/hyperlink" Target="../../../../../../../b/projects/java/tasks/t1/gatling-maven-plugin-demo-java-main/gatling-maven-plugin-demo-java-main/target/gatling/allscenarios-20250430135757136/req_login----cgi-bi-833752120.html" TargetMode="External"/><Relationship Id="rId43" Type="http://schemas.openxmlformats.org/officeDocument/2006/relationships/hyperlink" Target="../../../../../../../b/projects/java/tasks/t1/gatling-maven-plugin-demo-java-main/gatling-maven-plugin-demo-java-main/target/gatling/allscenarios-20250430135757136/req_login----cgi-bi-939440638.html" TargetMode="External"/><Relationship Id="rId44" Type="http://schemas.openxmlformats.org/officeDocument/2006/relationships/hyperlink" Target="../../../../../../../b/projects/java/tasks/t1/gatling-maven-plugin-demo-java-main/gatling-maven-plugin-demo-java-main/target/gatling/allscenarios-20250430135757136/group_flights--771814909.html" TargetMode="External"/><Relationship Id="rId45" Type="http://schemas.openxmlformats.org/officeDocument/2006/relationships/hyperlink" Target="../../../../../../../b/projects/java/tasks/t1/gatling-maven-plugin-demo-java-main/gatling-maven-plugin-demo-java-main/target/gatling/allscenarios-20250430135757136/req_flights----cgi--797078265.html" TargetMode="External"/><Relationship Id="rId46" Type="http://schemas.openxmlformats.org/officeDocument/2006/relationships/hyperlink" Target="../../../../../../../b/projects/java/tasks/t1/gatling-maven-plugin-demo-java-main/gatling-maven-plugin-demo-java-main/target/gatling/allscenarios-20250430135757136/req_flights----cgi--637805080.html" TargetMode="External"/><Relationship Id="rId47" Type="http://schemas.openxmlformats.org/officeDocument/2006/relationships/hyperlink" Target="../../../../../../../b/projects/java/tasks/t1/gatling-maven-plugin-demo-java-main/gatling-maven-plugin-demo-java-main/target/gatling/allscenarios-20250430135757136/req_flights----cgi--1000638162.html" TargetMode="External"/><Relationship Id="rId48" Type="http://schemas.openxmlformats.org/officeDocument/2006/relationships/hyperlink" Target="../../../../../../../b/projects/java/tasks/t1/gatling-maven-plugin-demo-java-main/gatling-maven-plugin-demo-java-main/target/gatling/allscenarios-20250430135757136/group_flights-find--1335857547.html" TargetMode="External"/><Relationship Id="rId49" Type="http://schemas.openxmlformats.org/officeDocument/2006/relationships/hyperlink" Target="../../../../../../../b/projects/java/tasks/t1/gatling-maven-plugin-demo-java-main/gatling-maven-plugin-demo-java-main/target/gatling/allscenarios-20250430135757136/req_flights-find----1285155616.html" TargetMode="External"/><Relationship Id="rId50" Type="http://schemas.openxmlformats.org/officeDocument/2006/relationships/hyperlink" Target="../../../../../../../b/projects/java/tasks/t1/gatling-maven-plugin-demo-java-main/gatling-maven-plugin-demo-java-main/target/gatling/allscenarios-20250430135757136/group_choose-availabl-1969156046.html" TargetMode="External"/><Relationship Id="rId51" Type="http://schemas.openxmlformats.org/officeDocument/2006/relationships/hyperlink" Target="../../../../../../../b/projects/java/tasks/t1/gatling-maven-plugin-demo-java-main/gatling-maven-plugin-demo-java-main/target/gatling/allscenarios-20250430135757136/req_choose-availabl-1715362343.html" TargetMode="External"/><Relationship Id="rId52" Type="http://schemas.openxmlformats.org/officeDocument/2006/relationships/hyperlink" Target="../../../../../../../b/projects/java/tasks/t1/gatling-maven-plugin-demo-java-main/gatling-maven-plugin-demo-java-main/target/gatling/allscenarios-20250430135757136/group_payment-details--1244830455.html" TargetMode="External"/><Relationship Id="rId53" Type="http://schemas.openxmlformats.org/officeDocument/2006/relationships/hyperlink" Target="../../../../../../../b/projects/java/tasks/t1/gatling-maven-plugin-demo-java-main/gatling-maven-plugin-demo-java-main/target/gatling/allscenarios-20250430135757136/req_payment-details-1503361036.html" TargetMode="External"/><Relationship Id="rId54" Type="http://schemas.openxmlformats.org/officeDocument/2006/relationships/hyperlink" Target="../../../../../../../b/projects/java/tasks/t1/gatling-maven-plugin-demo-java-main/gatling-maven-plugin-demo-java-main/target/gatling/allscenarios-20250430135757136/group_itinerary-1442959627.html" TargetMode="External"/><Relationship Id="rId55" Type="http://schemas.openxmlformats.org/officeDocument/2006/relationships/hyperlink" Target="../../../../../../../b/projects/java/tasks/t1/gatling-maven-plugin-demo-java-main/gatling-maven-plugin-demo-java-main/target/gatling/allscenarios-20250430135757136/req_itinerary----cg--978140159.html" TargetMode="External"/><Relationship Id="rId56" Type="http://schemas.openxmlformats.org/officeDocument/2006/relationships/hyperlink" Target="../../../../../../../b/projects/java/tasks/t1/gatling-maven-plugin-demo-java-main/gatling-maven-plugin-demo-java-main/target/gatling/allscenarios-20250430135757136/req_itinerary----cg--361289864.html" TargetMode="External"/><Relationship Id="rId57" Type="http://schemas.openxmlformats.org/officeDocument/2006/relationships/hyperlink" Target="../../../../../../../b/projects/java/tasks/t1/gatling-maven-plugin-demo-java-main/gatling-maven-plugin-demo-java-main/target/gatling/allscenarios-20250430135757136/req_itinerary----cg-1289107232.html" TargetMode="External"/><Relationship Id="rId58" Type="http://schemas.openxmlformats.org/officeDocument/2006/relationships/hyperlink" Target="../../../../../../../b/projects/java/tasks/t1/gatling-maven-plugin-demo-java-main/gatling-maven-plugin-demo-java-main/target/gatling/allscenarios-20250430135757136/group_logout--1097329270.html" TargetMode="External"/><Relationship Id="rId59" Type="http://schemas.openxmlformats.org/officeDocument/2006/relationships/hyperlink" Target="../../../../../../../b/projects/java/tasks/t1/gatling-maven-plugin-demo-java-main/gatling-maven-plugin-demo-java-main/target/gatling/allscenarios-20250430135757136/req_logout----cgi-b--182907072.html" TargetMode="External"/><Relationship Id="rId60" Type="http://schemas.openxmlformats.org/officeDocument/2006/relationships/hyperlink" Target="../../../../../../../b/projects/java/tasks/t1/gatling-maven-plugin-demo-java-main/gatling-maven-plugin-demo-java-main/target/gatling/allscenarios-20250430135757136/req_logout----cgi-b-1164573151.html" TargetMode="External"/><Relationship Id="rId61" Type="http://schemas.openxmlformats.org/officeDocument/2006/relationships/hyperlink" Target="../../../../../../../b/projects/java/tasks/t1/gatling-maven-plugin-demo-java-main/gatling-maven-plugin-demo-java-main/target/gatling/allscenarios-20250430135757136/group_open-register-p--1629894282.html" TargetMode="External"/><Relationship Id="rId62" Type="http://schemas.openxmlformats.org/officeDocument/2006/relationships/hyperlink" Target="../../../../../../../b/projects/java/tasks/t1/gatling-maven-plugin-demo-java-main/gatling-maven-plugin-demo-java-main/target/gatling/allscenarios-20250430135757136/req_open-register-p-1471765957.html" TargetMode="External"/><Relationship Id="rId63" Type="http://schemas.openxmlformats.org/officeDocument/2006/relationships/hyperlink" Target="../../../../../../../b/projects/java/tasks/t1/gatling-maven-plugin-demo-java-main/gatling-maven-plugin-demo-java-main/target/gatling/allscenarios-20250430135757136/group_fill-register-p--128319249.html" TargetMode="External"/><Relationship Id="rId64" Type="http://schemas.openxmlformats.org/officeDocument/2006/relationships/hyperlink" Target="../../../../../../../b/projects/java/tasks/t1/gatling-maven-plugin-demo-java-main/gatling-maven-plugin-demo-java-main/target/gatling/allscenarios-20250430135757136/req_fill-register-p--1035723074.html" TargetMode="External"/><Relationship Id="rId65" Type="http://schemas.openxmlformats.org/officeDocument/2006/relationships/hyperlink" Target="../../../../../../../b/projects/java/tasks/t1/gatling-maven-plugin-demo-java-main/gatling-maven-plugin-demo-java-main/target/gatling/allscenarios-20250430135757136/group_next-page-after-587063601.html" TargetMode="External"/><Relationship Id="rId66" Type="http://schemas.openxmlformats.org/officeDocument/2006/relationships/hyperlink" Target="../../../../../../../b/projects/java/tasks/t1/gatling-maven-plugin-demo-java-main/gatling-maven-plugin-demo-java-main/target/gatling/allscenarios-20250430135757136/req_next-page-after--1969253465.html" TargetMode="External"/><Relationship Id="rId67" Type="http://schemas.openxmlformats.org/officeDocument/2006/relationships/hyperlink" Target="../../../../../../../b/projects/java/tasks/t1/gatling-maven-plugin-demo-java-main/gatling-maven-plugin-demo-java-main/target/gatling/allscenarios-20250430135757136/req_next-page-after--2143761978.html" TargetMode="External"/><Relationship Id="rId68" Type="http://schemas.openxmlformats.org/officeDocument/2006/relationships/hyperlink" Target="../../../../../../../b/projects/java/tasks/t1/gatling-maven-plugin-demo-java-main/gatling-maven-plugin-demo-java-main/target/gatling/allscenarios-20250430135757136/req_next-page-after-1403472384.html" TargetMode="External"/><Relationship Id="rId69" Type="http://schemas.openxmlformats.org/officeDocument/2006/relationships/hyperlink" Target="../../../../../../../b/projects/java/tasks/t1/gatling-maven-plugin-demo-java-main/gatling-maven-plugin-demo-java-main/target/gatling/allscenarios-20250430135757136/group_itinerary-delet--1257996449.html" TargetMode="External"/><Relationship Id="rId70" Type="http://schemas.openxmlformats.org/officeDocument/2006/relationships/hyperlink" Target="../../../../../../../b/projects/java/tasks/t1/gatling-maven-plugin-demo-java-main/gatling-maven-plugin-demo-java-main/target/gatling/allscenarios-20250430135757136/req_itinerary-delet-396958156.html" TargetMode="External"/><Relationship Id="rId71" Type="http://schemas.openxmlformats.org/officeDocument/2006/relationships/hyperlink" Target="../../../../../../../b/projects/java/tasks/t1/gatling-maven-plugin-demo-java-main/gatling-maven-plugin-demo-java-main/target/gatling/allscenarios-20250430195931071/index.html" TargetMode="External"/><Relationship Id="rId72" Type="http://schemas.openxmlformats.org/officeDocument/2006/relationships/hyperlink" Target="../../../../../../../b/projects/java/tasks/t1/gatling-maven-plugin-demo-java-main/gatling-maven-plugin-demo-java-main/target/gatling/allscenarios-20250430195931071/group_home-page-2118081007.html" TargetMode="External"/><Relationship Id="rId73" Type="http://schemas.openxmlformats.org/officeDocument/2006/relationships/hyperlink" Target="../../../../../../../b/projects/java/tasks/t1/gatling-maven-plugin-demo-java-main/gatling-maven-plugin-demo-java-main/target/gatling/allscenarios-20250430195931071/req_home-page----we--1103227237.html" TargetMode="External"/><Relationship Id="rId74" Type="http://schemas.openxmlformats.org/officeDocument/2006/relationships/hyperlink" Target="../../../../../../../b/projects/java/tasks/t1/gatling-maven-plugin-demo-java-main/gatling-maven-plugin-demo-java-main/target/gatling/allscenarios-20250430195931071/req_home-page----cg--540620315.html" TargetMode="External"/><Relationship Id="rId75" Type="http://schemas.openxmlformats.org/officeDocument/2006/relationships/hyperlink" Target="../../../../../../../b/projects/java/tasks/t1/gatling-maven-plugin-demo-java-main/gatling-maven-plugin-demo-java-main/target/gatling/allscenarios-20250430195931071/req_home-page----cg-1870712580.html" TargetMode="External"/><Relationship Id="rId76" Type="http://schemas.openxmlformats.org/officeDocument/2006/relationships/hyperlink" Target="../../../../../../../b/projects/java/tasks/t1/gatling-maven-plugin-demo-java-main/gatling-maven-plugin-demo-java-main/target/gatling/allscenarios-20250430195931071/group_login-103149417.html" TargetMode="External"/><Relationship Id="rId77" Type="http://schemas.openxmlformats.org/officeDocument/2006/relationships/hyperlink" Target="../../../../../../../b/projects/java/tasks/t1/gatling-maven-plugin-demo-java-main/gatling-maven-plugin-demo-java-main/target/gatling/allscenarios-20250430195931071/req_login----cgi-bi-833752120.html" TargetMode="External"/><Relationship Id="rId78" Type="http://schemas.openxmlformats.org/officeDocument/2006/relationships/hyperlink" Target="../../../../../../../b/projects/java/tasks/t1/gatling-maven-plugin-demo-java-main/gatling-maven-plugin-demo-java-main/target/gatling/allscenarios-20250430195931071/req_login----cgi-bi-939440638.html" TargetMode="External"/><Relationship Id="rId79" Type="http://schemas.openxmlformats.org/officeDocument/2006/relationships/hyperlink" Target="../../../../../../../b/projects/java/tasks/t1/gatling-maven-plugin-demo-java-main/gatling-maven-plugin-demo-java-main/target/gatling/allscenarios-20250430195931071/group_flights--771814909.html" TargetMode="External"/><Relationship Id="rId80" Type="http://schemas.openxmlformats.org/officeDocument/2006/relationships/hyperlink" Target="../../../../../../../b/projects/java/tasks/t1/gatling-maven-plugin-demo-java-main/gatling-maven-plugin-demo-java-main/target/gatling/allscenarios-20250430195931071/req_flights----cgi--797078265.html" TargetMode="External"/><Relationship Id="rId81" Type="http://schemas.openxmlformats.org/officeDocument/2006/relationships/hyperlink" Target="../../../../../../../b/projects/java/tasks/t1/gatling-maven-plugin-demo-java-main/gatling-maven-plugin-demo-java-main/target/gatling/allscenarios-20250430195931071/req_flights----cgi--637805080.html" TargetMode="External"/><Relationship Id="rId82" Type="http://schemas.openxmlformats.org/officeDocument/2006/relationships/hyperlink" Target="../../../../../../../b/projects/java/tasks/t1/gatling-maven-plugin-demo-java-main/gatling-maven-plugin-demo-java-main/target/gatling/allscenarios-20250430195931071/req_flights----cgi--1000638162.html" TargetMode="External"/><Relationship Id="rId83" Type="http://schemas.openxmlformats.org/officeDocument/2006/relationships/hyperlink" Target="../../../../../../../b/projects/java/tasks/t1/gatling-maven-plugin-demo-java-main/gatling-maven-plugin-demo-java-main/target/gatling/allscenarios-20250430195931071/group_flights-find--1335857547.html" TargetMode="External"/><Relationship Id="rId84" Type="http://schemas.openxmlformats.org/officeDocument/2006/relationships/hyperlink" Target="../../../../../../../b/projects/java/tasks/t1/gatling-maven-plugin-demo-java-main/gatling-maven-plugin-demo-java-main/target/gatling/allscenarios-20250430195931071/req_flights-find----1285155616.html" TargetMode="External"/><Relationship Id="rId85" Type="http://schemas.openxmlformats.org/officeDocument/2006/relationships/hyperlink" Target="../../../../../../../b/projects/java/tasks/t1/gatling-maven-plugin-demo-java-main/gatling-maven-plugin-demo-java-main/target/gatling/allscenarios-20250430195931071/group_choose-availabl-1969156046.html" TargetMode="External"/><Relationship Id="rId86" Type="http://schemas.openxmlformats.org/officeDocument/2006/relationships/hyperlink" Target="../../../../../../../b/projects/java/tasks/t1/gatling-maven-plugin-demo-java-main/gatling-maven-plugin-demo-java-main/target/gatling/allscenarios-20250430195931071/req_choose-availabl-1715362343.html" TargetMode="External"/><Relationship Id="rId87" Type="http://schemas.openxmlformats.org/officeDocument/2006/relationships/hyperlink" Target="../../../../../../../b/projects/java/tasks/t1/gatling-maven-plugin-demo-java-main/gatling-maven-plugin-demo-java-main/target/gatling/allscenarios-20250430195931071/group_payment-details--1244830455.html" TargetMode="External"/><Relationship Id="rId88" Type="http://schemas.openxmlformats.org/officeDocument/2006/relationships/hyperlink" Target="../../../../../../../b/projects/java/tasks/t1/gatling-maven-plugin-demo-java-main/gatling-maven-plugin-demo-java-main/target/gatling/allscenarios-20250430195931071/req_payment-details-1503361036.html" TargetMode="External"/><Relationship Id="rId89" Type="http://schemas.openxmlformats.org/officeDocument/2006/relationships/hyperlink" Target="../../../../../../../b/projects/java/tasks/t1/gatling-maven-plugin-demo-java-main/gatling-maven-plugin-demo-java-main/target/gatling/allscenarios-20250430195931071/group_itinerary-1442959627.html" TargetMode="External"/><Relationship Id="rId90" Type="http://schemas.openxmlformats.org/officeDocument/2006/relationships/hyperlink" Target="../../../../../../../b/projects/java/tasks/t1/gatling-maven-plugin-demo-java-main/gatling-maven-plugin-demo-java-main/target/gatling/allscenarios-20250430195931071/req_itinerary----cg--978140159.html" TargetMode="External"/><Relationship Id="rId91" Type="http://schemas.openxmlformats.org/officeDocument/2006/relationships/hyperlink" Target="../../../../../../../b/projects/java/tasks/t1/gatling-maven-plugin-demo-java-main/gatling-maven-plugin-demo-java-main/target/gatling/allscenarios-20250430195931071/req_itinerary----cg--361289864.html" TargetMode="External"/><Relationship Id="rId92" Type="http://schemas.openxmlformats.org/officeDocument/2006/relationships/hyperlink" Target="../../../../../../../b/projects/java/tasks/t1/gatling-maven-plugin-demo-java-main/gatling-maven-plugin-demo-java-main/target/gatling/allscenarios-20250430195931071/req_itinerary----cg-1289107232.html" TargetMode="External"/><Relationship Id="rId93" Type="http://schemas.openxmlformats.org/officeDocument/2006/relationships/hyperlink" Target="../../../../../../../b/projects/java/tasks/t1/gatling-maven-plugin-demo-java-main/gatling-maven-plugin-demo-java-main/target/gatling/allscenarios-20250430195931071/group_logout--1097329270.html" TargetMode="External"/><Relationship Id="rId94" Type="http://schemas.openxmlformats.org/officeDocument/2006/relationships/hyperlink" Target="../../../../../../../b/projects/java/tasks/t1/gatling-maven-plugin-demo-java-main/gatling-maven-plugin-demo-java-main/target/gatling/allscenarios-20250430195931071/req_logout----cgi-b--182907072.html" TargetMode="External"/><Relationship Id="rId95" Type="http://schemas.openxmlformats.org/officeDocument/2006/relationships/hyperlink" Target="../../../../../../../b/projects/java/tasks/t1/gatling-maven-plugin-demo-java-main/gatling-maven-plugin-demo-java-main/target/gatling/allscenarios-20250430195931071/req_logout----cgi-b-1164573151.html" TargetMode="External"/><Relationship Id="rId96" Type="http://schemas.openxmlformats.org/officeDocument/2006/relationships/hyperlink" Target="../../../../../../../b/projects/java/tasks/t1/gatling-maven-plugin-demo-java-main/gatling-maven-plugin-demo-java-main/target/gatling/allscenarios-20250430195931071/group_open-register-p--1629894282.html" TargetMode="External"/><Relationship Id="rId97" Type="http://schemas.openxmlformats.org/officeDocument/2006/relationships/hyperlink" Target="../../../../../../../b/projects/java/tasks/t1/gatling-maven-plugin-demo-java-main/gatling-maven-plugin-demo-java-main/target/gatling/allscenarios-20250430195931071/req_open-register-p-1471765957.html" TargetMode="External"/><Relationship Id="rId98" Type="http://schemas.openxmlformats.org/officeDocument/2006/relationships/hyperlink" Target="../../../../../../../b/projects/java/tasks/t1/gatling-maven-plugin-demo-java-main/gatling-maven-plugin-demo-java-main/target/gatling/allscenarios-20250430195931071/group_fill-register-p--128319249.html" TargetMode="External"/><Relationship Id="rId99" Type="http://schemas.openxmlformats.org/officeDocument/2006/relationships/hyperlink" Target="../../../../../../../b/projects/java/tasks/t1/gatling-maven-plugin-demo-java-main/gatling-maven-plugin-demo-java-main/target/gatling/allscenarios-20250430195931071/req_fill-register-p--1035723074.html" TargetMode="External"/><Relationship Id="rId100" Type="http://schemas.openxmlformats.org/officeDocument/2006/relationships/hyperlink" Target="../../../../../../../b/projects/java/tasks/t1/gatling-maven-plugin-demo-java-main/gatling-maven-plugin-demo-java-main/target/gatling/allscenarios-20250430195931071/group_next-page-after-587063601.html" TargetMode="External"/><Relationship Id="rId101" Type="http://schemas.openxmlformats.org/officeDocument/2006/relationships/hyperlink" Target="../../../../../../../b/projects/java/tasks/t1/gatling-maven-plugin-demo-java-main/gatling-maven-plugin-demo-java-main/target/gatling/allscenarios-20250430195931071/req_next-page-after--1969253465.html" TargetMode="External"/><Relationship Id="rId102" Type="http://schemas.openxmlformats.org/officeDocument/2006/relationships/hyperlink" Target="../../../../../../../b/projects/java/tasks/t1/gatling-maven-plugin-demo-java-main/gatling-maven-plugin-demo-java-main/target/gatling/allscenarios-20250430195931071/req_next-page-after--2143761978.html" TargetMode="External"/><Relationship Id="rId103" Type="http://schemas.openxmlformats.org/officeDocument/2006/relationships/hyperlink" Target="../../../../../../../b/projects/java/tasks/t1/gatling-maven-plugin-demo-java-main/gatling-maven-plugin-demo-java-main/target/gatling/allscenarios-20250430195931071/req_next-page-after-1403472384.html" TargetMode="External"/><Relationship Id="rId104" Type="http://schemas.openxmlformats.org/officeDocument/2006/relationships/hyperlink" Target="../../../../../../../b/projects/java/tasks/t1/gatling-maven-plugin-demo-java-main/gatling-maven-plugin-demo-java-main/target/gatling/allscenarios-20250430195931071/group_itinerary-delet--1257996449.html" TargetMode="External"/><Relationship Id="rId105" Type="http://schemas.openxmlformats.org/officeDocument/2006/relationships/hyperlink" Target="../../../../../../../b/projects/java/tasks/t1/gatling-maven-plugin-demo-java-main/gatling-maven-plugin-demo-java-main/target/gatling/allscenarios-20250430195931071/req_itinerary-delet-396958156.html" TargetMode="External"/><Relationship Id="rId106" Type="http://schemas.openxmlformats.org/officeDocument/2006/relationships/hyperlink" Target="../../../../../../../b/projects/java/tasks/t1/gatling-maven-plugin-demo-java-main/gatling-maven-plugin-demo-java-main/target/gatling/stresstestpeak-20250506060745009/index.html" TargetMode="External"/><Relationship Id="rId107" Type="http://schemas.openxmlformats.org/officeDocument/2006/relationships/hyperlink" Target="../../../../../../../b/projects/java/tasks/t1/gatling-maven-plugin-demo-java-main/gatling-maven-plugin-demo-java-main/target/gatling/stresstestpeak-20250506060745009/group_home-page-2118081007.html" TargetMode="External"/><Relationship Id="rId108" Type="http://schemas.openxmlformats.org/officeDocument/2006/relationships/hyperlink" Target="../../../../../../../b/projects/java/tasks/t1/gatling-maven-plugin-demo-java-main/gatling-maven-plugin-demo-java-main/target/gatling/stresstestpeak-20250506060745009/req_home-page----we--1103227237.html" TargetMode="External"/><Relationship Id="rId109" Type="http://schemas.openxmlformats.org/officeDocument/2006/relationships/hyperlink" Target="../../../../../../../b/projects/java/tasks/t1/gatling-maven-plugin-demo-java-main/gatling-maven-plugin-demo-java-main/target/gatling/stresstestpeak-20250506060745009/req_home-page----cg--540620315.html" TargetMode="External"/><Relationship Id="rId110" Type="http://schemas.openxmlformats.org/officeDocument/2006/relationships/hyperlink" Target="../../../../../../../b/projects/java/tasks/t1/gatling-maven-plugin-demo-java-main/gatling-maven-plugin-demo-java-main/target/gatling/stresstestpeak-20250506060745009/req_home-page----cg-1870712580.html" TargetMode="External"/><Relationship Id="rId111" Type="http://schemas.openxmlformats.org/officeDocument/2006/relationships/hyperlink" Target="../../../../../../../b/projects/java/tasks/t1/gatling-maven-plugin-demo-java-main/gatling-maven-plugin-demo-java-main/target/gatling/stresstestpeak-20250506060745009/group_login-103149417.html" TargetMode="External"/><Relationship Id="rId112" Type="http://schemas.openxmlformats.org/officeDocument/2006/relationships/hyperlink" Target="../../../../../../../b/projects/java/tasks/t1/gatling-maven-plugin-demo-java-main/gatling-maven-plugin-demo-java-main/target/gatling/stresstestpeak-20250506060745009/req_login----cgi-bi-833752120.html" TargetMode="External"/><Relationship Id="rId113" Type="http://schemas.openxmlformats.org/officeDocument/2006/relationships/hyperlink" Target="../../../../../../../b/projects/java/tasks/t1/gatling-maven-plugin-demo-java-main/gatling-maven-plugin-demo-java-main/target/gatling/stresstestpeak-20250506060745009/req_login----cgi-bi-939440638.html" TargetMode="External"/><Relationship Id="rId114" Type="http://schemas.openxmlformats.org/officeDocument/2006/relationships/hyperlink" Target="../../../../../../../b/projects/java/tasks/t1/gatling-maven-plugin-demo-java-main/gatling-maven-plugin-demo-java-main/target/gatling/stresstestpeak-20250506060745009/group_open-register-p--1629894282.html" TargetMode="External"/><Relationship Id="rId115" Type="http://schemas.openxmlformats.org/officeDocument/2006/relationships/hyperlink" Target="../../../../../../../b/projects/java/tasks/t1/gatling-maven-plugin-demo-java-main/gatling-maven-plugin-demo-java-main/target/gatling/stresstestpeak-20250506060745009/req_open-register-p-1471765957.html" TargetMode="External"/><Relationship Id="rId116" Type="http://schemas.openxmlformats.org/officeDocument/2006/relationships/hyperlink" Target="../../../../../../../b/projects/java/tasks/t1/gatling-maven-plugin-demo-java-main/gatling-maven-plugin-demo-java-main/target/gatling/stresstestpeak-20250506060745009/group_fill-register-p--128319249.html" TargetMode="External"/><Relationship Id="rId117" Type="http://schemas.openxmlformats.org/officeDocument/2006/relationships/hyperlink" Target="../../../../../../../b/projects/java/tasks/t1/gatling-maven-plugin-demo-java-main/gatling-maven-plugin-demo-java-main/target/gatling/stresstestpeak-20250506060745009/req_fill-register-p--1035723074.html" TargetMode="External"/><Relationship Id="rId118" Type="http://schemas.openxmlformats.org/officeDocument/2006/relationships/hyperlink" Target="../../../../../../../b/projects/java/tasks/t1/gatling-maven-plugin-demo-java-main/gatling-maven-plugin-demo-java-main/target/gatling/stresstestpeak-20250506060745009/group_flights--771814909.html" TargetMode="External"/><Relationship Id="rId119" Type="http://schemas.openxmlformats.org/officeDocument/2006/relationships/hyperlink" Target="../../../../../../../b/projects/java/tasks/t1/gatling-maven-plugin-demo-java-main/gatling-maven-plugin-demo-java-main/target/gatling/stresstestpeak-20250506060745009/req_flights----cgi--797078265.html" TargetMode="External"/><Relationship Id="rId120" Type="http://schemas.openxmlformats.org/officeDocument/2006/relationships/hyperlink" Target="../../../../../../../b/projects/java/tasks/t1/gatling-maven-plugin-demo-java-main/gatling-maven-plugin-demo-java-main/target/gatling/stresstestpeak-20250506060745009/req_flights----cgi--637805080.html" TargetMode="External"/><Relationship Id="rId121" Type="http://schemas.openxmlformats.org/officeDocument/2006/relationships/hyperlink" Target="../../../../../../../b/projects/java/tasks/t1/gatling-maven-plugin-demo-java-main/gatling-maven-plugin-demo-java-main/target/gatling/stresstestpeak-20250506060745009/req_flights----cgi--1000638162.html" TargetMode="External"/><Relationship Id="rId122" Type="http://schemas.openxmlformats.org/officeDocument/2006/relationships/hyperlink" Target="../../../../../../../b/projects/java/tasks/t1/gatling-maven-plugin-demo-java-main/gatling-maven-plugin-demo-java-main/target/gatling/stresstestpeak-20250506060745009/group_logout--1097329270.html" TargetMode="External"/><Relationship Id="rId123" Type="http://schemas.openxmlformats.org/officeDocument/2006/relationships/hyperlink" Target="../../../../../../../b/projects/java/tasks/t1/gatling-maven-plugin-demo-java-main/gatling-maven-plugin-demo-java-main/target/gatling/stresstestpeak-20250506060745009/req_logout----cgi-b--182907072.html" TargetMode="External"/><Relationship Id="rId124" Type="http://schemas.openxmlformats.org/officeDocument/2006/relationships/hyperlink" Target="../../../../../../../b/projects/java/tasks/t1/gatling-maven-plugin-demo-java-main/gatling-maven-plugin-demo-java-main/target/gatling/stresstestpeak-20250506060745009/req_logout----cgi-b-1164573151.html" TargetMode="External"/><Relationship Id="rId125" Type="http://schemas.openxmlformats.org/officeDocument/2006/relationships/hyperlink" Target="../../../../../../../b/projects/java/tasks/t1/gatling-maven-plugin-demo-java-main/gatling-maven-plugin-demo-java-main/target/gatling/stresstestpeak-20250506060745009/group_itinerary-1442959627.html" TargetMode="External"/><Relationship Id="rId126" Type="http://schemas.openxmlformats.org/officeDocument/2006/relationships/hyperlink" Target="../../../../../../../b/projects/java/tasks/t1/gatling-maven-plugin-demo-java-main/gatling-maven-plugin-demo-java-main/target/gatling/stresstestpeak-20250506060745009/req_itinerary----cg--978140159.html" TargetMode="External"/><Relationship Id="rId127" Type="http://schemas.openxmlformats.org/officeDocument/2006/relationships/hyperlink" Target="../../../../../../../b/projects/java/tasks/t1/gatling-maven-plugin-demo-java-main/gatling-maven-plugin-demo-java-main/target/gatling/stresstestpeak-20250506060745009/req_itinerary----cg--361289864.html" TargetMode="External"/><Relationship Id="rId128" Type="http://schemas.openxmlformats.org/officeDocument/2006/relationships/hyperlink" Target="../../../../../../../b/projects/java/tasks/t1/gatling-maven-plugin-demo-java-main/gatling-maven-plugin-demo-java-main/target/gatling/stresstestpeak-20250506060745009/req_itinerary----cg-1289107232.html" TargetMode="External"/><Relationship Id="rId129" Type="http://schemas.openxmlformats.org/officeDocument/2006/relationships/hyperlink" Target="../../../../../../../b/projects/java/tasks/t1/gatling-maven-plugin-demo-java-main/gatling-maven-plugin-demo-java-main/target/gatling/stresstestpeak-20250506060745009/group_next-page-after-587063601.html" TargetMode="External"/><Relationship Id="rId130" Type="http://schemas.openxmlformats.org/officeDocument/2006/relationships/hyperlink" Target="../../../../../../../b/projects/java/tasks/t1/gatling-maven-plugin-demo-java-main/gatling-maven-plugin-demo-java-main/target/gatling/stresstestpeak-20250506060745009/req_next-page-after--1969253465.html" TargetMode="External"/><Relationship Id="rId131" Type="http://schemas.openxmlformats.org/officeDocument/2006/relationships/hyperlink" Target="../../../../../../../b/projects/java/tasks/t1/gatling-maven-plugin-demo-java-main/gatling-maven-plugin-demo-java-main/target/gatling/stresstestpeak-20250506060745009/req_next-page-after--2143761978.html" TargetMode="External"/><Relationship Id="rId132" Type="http://schemas.openxmlformats.org/officeDocument/2006/relationships/hyperlink" Target="../../../../../../../b/projects/java/tasks/t1/gatling-maven-plugin-demo-java-main/gatling-maven-plugin-demo-java-main/target/gatling/stresstestpeak-20250506060745009/req_next-page-after-1403472384.html" TargetMode="External"/><Relationship Id="rId133" Type="http://schemas.openxmlformats.org/officeDocument/2006/relationships/hyperlink" Target="../../../../../../../b/projects/java/tasks/t1/gatling-maven-plugin-demo-java-main/gatling-maven-plugin-demo-java-main/target/gatling/stresstestpeak-20250506060745009/group_flights-find--1335857547.html" TargetMode="External"/><Relationship Id="rId134" Type="http://schemas.openxmlformats.org/officeDocument/2006/relationships/hyperlink" Target="../../../../../../../b/projects/java/tasks/t1/gatling-maven-plugin-demo-java-main/gatling-maven-plugin-demo-java-main/target/gatling/stresstestpeak-20250506060745009/req_flights-find----1285155616.html" TargetMode="External"/><Relationship Id="rId135" Type="http://schemas.openxmlformats.org/officeDocument/2006/relationships/hyperlink" Target="../../../../../../../b/projects/java/tasks/t1/gatling-maven-plugin-demo-java-main/gatling-maven-plugin-demo-java-main/target/gatling/stresstestpeak-20250506060745009/group_itinerary-delet--1257996449.html" TargetMode="External"/><Relationship Id="rId136" Type="http://schemas.openxmlformats.org/officeDocument/2006/relationships/hyperlink" Target="../../../../../../../b/projects/java/tasks/t1/gatling-maven-plugin-demo-java-main/gatling-maven-plugin-demo-java-main/target/gatling/stresstestpeak-20250506060745009/req_itinerary-delet-396958156.html" TargetMode="External"/><Relationship Id="rId137" Type="http://schemas.openxmlformats.org/officeDocument/2006/relationships/hyperlink" Target="../../../../../../../b/projects/java/tasks/t1/gatling-maven-plugin-demo-java-main/gatling-maven-plugin-demo-java-main/target/gatling/stresstestpeak-20250506060745009/group_choose-availabl-1969156046.html" TargetMode="External"/><Relationship Id="rId138" Type="http://schemas.openxmlformats.org/officeDocument/2006/relationships/hyperlink" Target="../../../../../../../b/projects/java/tasks/t1/gatling-maven-plugin-demo-java-main/gatling-maven-plugin-demo-java-main/target/gatling/stresstestpeak-20250506060745009/req_choose-availabl-1715362343.html" TargetMode="External"/><Relationship Id="rId139" Type="http://schemas.openxmlformats.org/officeDocument/2006/relationships/hyperlink" Target="../../../../../../../b/projects/java/tasks/t1/gatling-maven-plugin-demo-java-main/gatling-maven-plugin-demo-java-main/target/gatling/stresstestpeak-20250506060745009/group_payment-details--1244830455.html" TargetMode="External"/><Relationship Id="rId140" Type="http://schemas.openxmlformats.org/officeDocument/2006/relationships/hyperlink" Target="../../../../../../../b/projects/java/tasks/t1/gatling-maven-plugin-demo-java-main/gatling-maven-plugin-demo-java-main/target/gatling/stresstestpeak-20250506060745009/req_payment-details-1503361036.html" TargetMode="External"/><Relationship Id="rId141" Type="http://schemas.openxmlformats.org/officeDocument/2006/relationships/hyperlink" Target="../../../../../../../projects/java/tasks/t1/gatling-maven-plugin-demo-java-main/gatling-maven-plugin-demo-java-main/target/gatling/allscenarios-20250517111303907/index.html" TargetMode="External"/><Relationship Id="rId142" Type="http://schemas.openxmlformats.org/officeDocument/2006/relationships/hyperlink" Target="../../../../../../../projects/java/tasks/t1/gatling-maven-plugin-demo-java-main/gatling-maven-plugin-demo-java-main/target/gatling/allscenarios-20250517111303907/group_home-page-2118081007.html" TargetMode="External"/><Relationship Id="rId143" Type="http://schemas.openxmlformats.org/officeDocument/2006/relationships/hyperlink" Target="../../../../../../../projects/java/tasks/t1/gatling-maven-plugin-demo-java-main/gatling-maven-plugin-demo-java-main/target/gatling/allscenarios-20250517111303907/req_home-page----we--1103227237.html" TargetMode="External"/><Relationship Id="rId144" Type="http://schemas.openxmlformats.org/officeDocument/2006/relationships/hyperlink" Target="../../../../../../../projects/java/tasks/t1/gatling-maven-plugin-demo-java-main/gatling-maven-plugin-demo-java-main/target/gatling/allscenarios-20250517111303907/req_home-page----cg--540620315.html" TargetMode="External"/><Relationship Id="rId145" Type="http://schemas.openxmlformats.org/officeDocument/2006/relationships/hyperlink" Target="../../../../../../../projects/java/tasks/t1/gatling-maven-plugin-demo-java-main/gatling-maven-plugin-demo-java-main/target/gatling/allscenarios-20250517111303907/req_home-page----cg-1870712580.html" TargetMode="External"/><Relationship Id="rId146" Type="http://schemas.openxmlformats.org/officeDocument/2006/relationships/hyperlink" Target="../../../../../../../projects/java/tasks/t1/gatling-maven-plugin-demo-java-main/gatling-maven-plugin-demo-java-main/target/gatling/allscenarios-20250517111303907/group_login-103149417.html" TargetMode="External"/><Relationship Id="rId147" Type="http://schemas.openxmlformats.org/officeDocument/2006/relationships/hyperlink" Target="../../../../../../../projects/java/tasks/t1/gatling-maven-plugin-demo-java-main/gatling-maven-plugin-demo-java-main/target/gatling/allscenarios-20250517111303907/req_login----cgi-bi-833752120.html" TargetMode="External"/><Relationship Id="rId148" Type="http://schemas.openxmlformats.org/officeDocument/2006/relationships/hyperlink" Target="../../../../../../../projects/java/tasks/t1/gatling-maven-plugin-demo-java-main/gatling-maven-plugin-demo-java-main/target/gatling/allscenarios-20250517111303907/req_login----cgi-bi-939440638.html" TargetMode="External"/><Relationship Id="rId149" Type="http://schemas.openxmlformats.org/officeDocument/2006/relationships/hyperlink" Target="../../../../../../../projects/java/tasks/t1/gatling-maven-plugin-demo-java-main/gatling-maven-plugin-demo-java-main/target/gatling/allscenarios-20250517111303907/group_flights--771814909.html" TargetMode="External"/><Relationship Id="rId150" Type="http://schemas.openxmlformats.org/officeDocument/2006/relationships/hyperlink" Target="../../../../../../../projects/java/tasks/t1/gatling-maven-plugin-demo-java-main/gatling-maven-plugin-demo-java-main/target/gatling/allscenarios-20250517111303907/req_flights----cgi--797078265.html" TargetMode="External"/><Relationship Id="rId151" Type="http://schemas.openxmlformats.org/officeDocument/2006/relationships/hyperlink" Target="../../../../../../../projects/java/tasks/t1/gatling-maven-plugin-demo-java-main/gatling-maven-plugin-demo-java-main/target/gatling/allscenarios-20250517111303907/req_flights----cgi--637805080.html" TargetMode="External"/><Relationship Id="rId152" Type="http://schemas.openxmlformats.org/officeDocument/2006/relationships/hyperlink" Target="../../../../../../../projects/java/tasks/t1/gatling-maven-plugin-demo-java-main/gatling-maven-plugin-demo-java-main/target/gatling/allscenarios-20250517111303907/req_flights----cgi--1000638162.html" TargetMode="External"/><Relationship Id="rId153" Type="http://schemas.openxmlformats.org/officeDocument/2006/relationships/hyperlink" Target="../../../../../../../projects/java/tasks/t1/gatling-maven-plugin-demo-java-main/gatling-maven-plugin-demo-java-main/target/gatling/allscenarios-20250517111303907/group_flights-find--1335857547.html" TargetMode="External"/><Relationship Id="rId154" Type="http://schemas.openxmlformats.org/officeDocument/2006/relationships/hyperlink" Target="../../../../../../../projects/java/tasks/t1/gatling-maven-plugin-demo-java-main/gatling-maven-plugin-demo-java-main/target/gatling/allscenarios-20250517111303907/req_flights-find----1285155616.html" TargetMode="External"/><Relationship Id="rId155" Type="http://schemas.openxmlformats.org/officeDocument/2006/relationships/hyperlink" Target="../../../../../../../projects/java/tasks/t1/gatling-maven-plugin-demo-java-main/gatling-maven-plugin-demo-java-main/target/gatling/allscenarios-20250517111303907/group_choose-availabl-1969156046.html" TargetMode="External"/><Relationship Id="rId156" Type="http://schemas.openxmlformats.org/officeDocument/2006/relationships/hyperlink" Target="../../../../../../../projects/java/tasks/t1/gatling-maven-plugin-demo-java-main/gatling-maven-plugin-demo-java-main/target/gatling/allscenarios-20250517111303907/req_choose-availabl-1715362343.html" TargetMode="External"/><Relationship Id="rId157" Type="http://schemas.openxmlformats.org/officeDocument/2006/relationships/hyperlink" Target="../../../../../../../projects/java/tasks/t1/gatling-maven-plugin-demo-java-main/gatling-maven-plugin-demo-java-main/target/gatling/allscenarios-20250517111303907/group_payment-details--1244830455.html" TargetMode="External"/><Relationship Id="rId158" Type="http://schemas.openxmlformats.org/officeDocument/2006/relationships/hyperlink" Target="../../../../../../../projects/java/tasks/t1/gatling-maven-plugin-demo-java-main/gatling-maven-plugin-demo-java-main/target/gatling/allscenarios-20250517111303907/req_payment-details-1503361036.html" TargetMode="External"/><Relationship Id="rId159" Type="http://schemas.openxmlformats.org/officeDocument/2006/relationships/hyperlink" Target="../../../../../../../projects/java/tasks/t1/gatling-maven-plugin-demo-java-main/gatling-maven-plugin-demo-java-main/target/gatling/allscenarios-20250517111303907/group_itinerary-1442959627.html" TargetMode="External"/><Relationship Id="rId160" Type="http://schemas.openxmlformats.org/officeDocument/2006/relationships/hyperlink" Target="../../../../../../../projects/java/tasks/t1/gatling-maven-plugin-demo-java-main/gatling-maven-plugin-demo-java-main/target/gatling/allscenarios-20250517111303907/req_itinerary----cg--978140159.html" TargetMode="External"/><Relationship Id="rId161" Type="http://schemas.openxmlformats.org/officeDocument/2006/relationships/hyperlink" Target="../../../../../../../projects/java/tasks/t1/gatling-maven-plugin-demo-java-main/gatling-maven-plugin-demo-java-main/target/gatling/allscenarios-20250517111303907/req_itinerary----cg--361289864.html" TargetMode="External"/><Relationship Id="rId162" Type="http://schemas.openxmlformats.org/officeDocument/2006/relationships/hyperlink" Target="../../../../../../../projects/java/tasks/t1/gatling-maven-plugin-demo-java-main/gatling-maven-plugin-demo-java-main/target/gatling/allscenarios-20250517111303907/req_itinerary----cg-1289107232.html" TargetMode="External"/><Relationship Id="rId163" Type="http://schemas.openxmlformats.org/officeDocument/2006/relationships/hyperlink" Target="../../../../../../../projects/java/tasks/t1/gatling-maven-plugin-demo-java-main/gatling-maven-plugin-demo-java-main/target/gatling/allscenarios-20250517111303907/group_logout--1097329270.html" TargetMode="External"/><Relationship Id="rId164" Type="http://schemas.openxmlformats.org/officeDocument/2006/relationships/hyperlink" Target="../../../../../../../projects/java/tasks/t1/gatling-maven-plugin-demo-java-main/gatling-maven-plugin-demo-java-main/target/gatling/allscenarios-20250517111303907/req_logout----cgi-b--182907072.html" TargetMode="External"/><Relationship Id="rId165" Type="http://schemas.openxmlformats.org/officeDocument/2006/relationships/hyperlink" Target="../../../../../../../projects/java/tasks/t1/gatling-maven-plugin-demo-java-main/gatling-maven-plugin-demo-java-main/target/gatling/allscenarios-20250517111303907/req_logout----cgi-b-1164573151.html" TargetMode="External"/><Relationship Id="rId166" Type="http://schemas.openxmlformats.org/officeDocument/2006/relationships/hyperlink" Target="../../../../../../../projects/java/tasks/t1/gatling-maven-plugin-demo-java-main/gatling-maven-plugin-demo-java-main/target/gatling/allscenarios-20250517111303907/group_open-register-p--1629894282.html" TargetMode="External"/><Relationship Id="rId167" Type="http://schemas.openxmlformats.org/officeDocument/2006/relationships/hyperlink" Target="../../../../../../../projects/java/tasks/t1/gatling-maven-plugin-demo-java-main/gatling-maven-plugin-demo-java-main/target/gatling/allscenarios-20250517111303907/req_open-register-p-1471765957.html" TargetMode="External"/><Relationship Id="rId168" Type="http://schemas.openxmlformats.org/officeDocument/2006/relationships/hyperlink" Target="../../../../../../../projects/java/tasks/t1/gatling-maven-plugin-demo-java-main/gatling-maven-plugin-demo-java-main/target/gatling/allscenarios-20250517111303907/group_fill-register-p--128319249.html" TargetMode="External"/><Relationship Id="rId169" Type="http://schemas.openxmlformats.org/officeDocument/2006/relationships/hyperlink" Target="../../../../../../../projects/java/tasks/t1/gatling-maven-plugin-demo-java-main/gatling-maven-plugin-demo-java-main/target/gatling/allscenarios-20250517111303907/req_fill-register-p--1035723074.html" TargetMode="External"/><Relationship Id="rId170" Type="http://schemas.openxmlformats.org/officeDocument/2006/relationships/hyperlink" Target="../../../../../../../projects/java/tasks/t1/gatling-maven-plugin-demo-java-main/gatling-maven-plugin-demo-java-main/target/gatling/allscenarios-20250517111303907/group_next-page-after-587063601.html" TargetMode="External"/><Relationship Id="rId171" Type="http://schemas.openxmlformats.org/officeDocument/2006/relationships/hyperlink" Target="../../../../../../../projects/java/tasks/t1/gatling-maven-plugin-demo-java-main/gatling-maven-plugin-demo-java-main/target/gatling/allscenarios-20250517111303907/req_next-page-after--1969253465.html" TargetMode="External"/><Relationship Id="rId172" Type="http://schemas.openxmlformats.org/officeDocument/2006/relationships/hyperlink" Target="../../../../../../../projects/java/tasks/t1/gatling-maven-plugin-demo-java-main/gatling-maven-plugin-demo-java-main/target/gatling/allscenarios-20250517111303907/req_next-page-after--2143761978.html" TargetMode="External"/><Relationship Id="rId173" Type="http://schemas.openxmlformats.org/officeDocument/2006/relationships/hyperlink" Target="../../../../../../../projects/java/tasks/t1/gatling-maven-plugin-demo-java-main/gatling-maven-plugin-demo-java-main/target/gatling/allscenarios-20250517111303907/req_next-page-after-1403472384.html" TargetMode="External"/><Relationship Id="rId174" Type="http://schemas.openxmlformats.org/officeDocument/2006/relationships/hyperlink" Target="../../../../../../../projects/java/tasks/t1/gatling-maven-plugin-demo-java-main/gatling-maven-plugin-demo-java-main/target/gatling/allscenarios-20250517111303907/group_itinerary-delet--1257996449.html" TargetMode="External"/><Relationship Id="rId175" Type="http://schemas.openxmlformats.org/officeDocument/2006/relationships/hyperlink" Target="../../../../../../../projects/java/tasks/t1/gatling-maven-plugin-demo-java-main/gatling-maven-plugin-demo-java-main/target/gatling/allscenarios-20250517111303907/req_itinerary-delet-396958156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D39" activeCellId="0" sqref="D39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31.67"/>
    <col collapsed="false" customWidth="true" hidden="false" outlineLevel="0" max="2" min="2" style="1" width="44.02"/>
    <col collapsed="false" customWidth="true" hidden="false" outlineLevel="0" max="3" min="3" style="1" width="18.16"/>
    <col collapsed="false" customWidth="true" hidden="false" outlineLevel="0" max="4" min="4" style="1" width="17.83"/>
    <col collapsed="false" customWidth="true" hidden="false" outlineLevel="0" max="5" min="5" style="1" width="19.16"/>
    <col collapsed="false" customWidth="true" hidden="false" outlineLevel="0" max="6" min="6" style="1" width="33.33"/>
    <col collapsed="false" customWidth="true" hidden="false" outlineLevel="0" max="7" min="7" style="1" width="22.58"/>
    <col collapsed="false" customWidth="true" hidden="false" outlineLevel="0" max="8" min="8" style="1" width="16.36"/>
    <col collapsed="false" customWidth="true" hidden="false" outlineLevel="0" max="9" min="9" style="1" width="41.33"/>
    <col collapsed="false" customWidth="true" hidden="false" outlineLevel="0" max="10" min="10" style="1" width="19"/>
    <col collapsed="false" customWidth="true" hidden="false" outlineLevel="0" max="11" min="11" style="1" width="18.16"/>
    <col collapsed="false" customWidth="true" hidden="false" outlineLevel="0" max="12" min="12" style="1" width="26.67"/>
    <col collapsed="false" customWidth="true" hidden="false" outlineLevel="0" max="13" min="13" style="1" width="35.16"/>
    <col collapsed="false" customWidth="true" hidden="false" outlineLevel="0" max="14" min="14" style="1" width="17.83"/>
    <col collapsed="false" customWidth="true" hidden="false" outlineLevel="0" max="15" min="15" style="1" width="23.83"/>
    <col collapsed="false" customWidth="true" hidden="false" outlineLevel="0" max="16" min="16" style="1" width="23.5"/>
    <col collapsed="false" customWidth="true" hidden="false" outlineLevel="0" max="17" min="17" style="1" width="26"/>
    <col collapsed="false" customWidth="true" hidden="false" outlineLevel="0" max="18" min="18" style="1" width="10.51"/>
    <col collapsed="false" customWidth="true" hidden="false" outlineLevel="0" max="19" min="19" style="1" width="34.16"/>
    <col collapsed="false" customWidth="true" hidden="false" outlineLevel="0" max="20" min="20" style="1" width="53.66"/>
    <col collapsed="false" customWidth="true" hidden="false" outlineLevel="0" max="21" min="21" style="1" width="29.93"/>
    <col collapsed="false" customWidth="true" hidden="false" outlineLevel="0" max="22" min="22" style="1" width="24.12"/>
    <col collapsed="false" customWidth="true" hidden="false" outlineLevel="0" max="23" min="23" style="1" width="28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</v>
      </c>
      <c r="J1" s="3" t="s">
        <v>8</v>
      </c>
      <c r="M1" s="4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3</v>
      </c>
      <c r="S1" s="6" t="s">
        <v>14</v>
      </c>
      <c r="T1" s="7" t="s">
        <v>15</v>
      </c>
      <c r="U1" s="8" t="s">
        <v>16</v>
      </c>
      <c r="V1" s="8" t="s">
        <v>17</v>
      </c>
      <c r="W1" s="9" t="s">
        <v>18</v>
      </c>
    </row>
    <row r="2" customFormat="false" ht="15" hidden="false" customHeight="false" outlineLevel="0" collapsed="false">
      <c r="A2" s="10" t="s">
        <v>19</v>
      </c>
      <c r="B2" s="10" t="s">
        <v>20</v>
      </c>
      <c r="C2" s="11" t="n">
        <v>1</v>
      </c>
      <c r="D2" s="12" t="n">
        <f aca="false">VLOOKUP(A2,$M$1:$X$8,6,FALSE())</f>
        <v>4</v>
      </c>
      <c r="E2" s="1" t="n">
        <f aca="false">VLOOKUP(A2,$M$1:$X$8,5,FALSE())</f>
        <v>82.8</v>
      </c>
      <c r="F2" s="13" t="n">
        <f aca="false">60/E2*C2</f>
        <v>0.72463768115942</v>
      </c>
      <c r="G2" s="1" t="n">
        <f aca="false">VLOOKUP(A2,$M$1:$X$8,9,FALSE())</f>
        <v>20</v>
      </c>
      <c r="H2" s="14" t="n">
        <f aca="false">D2*F2*G2</f>
        <v>57.9710144927536</v>
      </c>
      <c r="I2" s="15" t="s">
        <v>21</v>
      </c>
      <c r="J2" s="16" t="n">
        <v>142.354987047347</v>
      </c>
      <c r="M2" s="17" t="s">
        <v>19</v>
      </c>
      <c r="N2" s="18" t="n">
        <v>0.4</v>
      </c>
      <c r="O2" s="19" t="n">
        <v>41</v>
      </c>
      <c r="P2" s="20" t="n">
        <f aca="false">N2+O2</f>
        <v>41.4</v>
      </c>
      <c r="Q2" s="21" t="n">
        <f aca="false">P2*2</f>
        <v>82.8</v>
      </c>
      <c r="R2" s="22" t="n">
        <v>4</v>
      </c>
      <c r="S2" s="23" t="n">
        <f aca="false">R2/W$2</f>
        <v>0.4</v>
      </c>
      <c r="T2" s="24" t="n">
        <f aca="false">60/(Q2)</f>
        <v>0.72463768115942</v>
      </c>
      <c r="U2" s="25" t="n">
        <v>20</v>
      </c>
      <c r="V2" s="26" t="n">
        <f aca="false">ROUND(R2*T2*U2,0)</f>
        <v>58</v>
      </c>
      <c r="W2" s="27" t="n">
        <f aca="false">SUM(R2:R7)</f>
        <v>10</v>
      </c>
    </row>
    <row r="3" customFormat="false" ht="15" hidden="false" customHeight="false" outlineLevel="0" collapsed="false">
      <c r="A3" s="10" t="s">
        <v>19</v>
      </c>
      <c r="B3" s="10" t="s">
        <v>21</v>
      </c>
      <c r="C3" s="11" t="n">
        <v>1</v>
      </c>
      <c r="D3" s="28" t="n">
        <f aca="false">VLOOKUP(A3,$M$1:$X$8,6,FALSE())</f>
        <v>4</v>
      </c>
      <c r="E3" s="1" t="n">
        <f aca="false">VLOOKUP(A3,$M$1:$X$8,5,FALSE())</f>
        <v>82.8</v>
      </c>
      <c r="F3" s="13" t="n">
        <f aca="false">60/E3*C3</f>
        <v>0.72463768115942</v>
      </c>
      <c r="G3" s="1" t="n">
        <f aca="false">VLOOKUP(A3,$M$1:$X$8,9,FALSE())</f>
        <v>20</v>
      </c>
      <c r="H3" s="14" t="n">
        <f aca="false">D3*F3*G3</f>
        <v>57.9710144927536</v>
      </c>
      <c r="I3" s="29" t="s">
        <v>22</v>
      </c>
      <c r="J3" s="30" t="n">
        <v>91.965348770374</v>
      </c>
      <c r="M3" s="17" t="s">
        <v>23</v>
      </c>
      <c r="N3" s="18" t="n">
        <v>0.3</v>
      </c>
      <c r="O3" s="19" t="n">
        <v>24</v>
      </c>
      <c r="P3" s="20" t="n">
        <f aca="false">N3+O3</f>
        <v>24.3</v>
      </c>
      <c r="Q3" s="21" t="n">
        <f aca="false">P3*2</f>
        <v>48.6</v>
      </c>
      <c r="R3" s="22" t="n">
        <v>1</v>
      </c>
      <c r="S3" s="23" t="n">
        <f aca="false">R3/W$2</f>
        <v>0.1</v>
      </c>
      <c r="T3" s="24" t="n">
        <f aca="false">60/(Q3)</f>
        <v>1.23456790123457</v>
      </c>
      <c r="U3" s="25" t="n">
        <v>20</v>
      </c>
      <c r="V3" s="26" t="n">
        <f aca="false">ROUND(R3*T3*U3,0)</f>
        <v>25</v>
      </c>
      <c r="W3" s="27"/>
    </row>
    <row r="4" customFormat="false" ht="15" hidden="false" customHeight="false" outlineLevel="0" collapsed="false">
      <c r="A4" s="10" t="s">
        <v>19</v>
      </c>
      <c r="B4" s="10" t="s">
        <v>24</v>
      </c>
      <c r="C4" s="11" t="n">
        <v>1</v>
      </c>
      <c r="D4" s="28" t="n">
        <f aca="false">VLOOKUP(A4,$M$1:$X$8,6,FALSE())</f>
        <v>4</v>
      </c>
      <c r="E4" s="1" t="n">
        <f aca="false">VLOOKUP(A4,$M$1:$X$8,5,FALSE())</f>
        <v>82.8</v>
      </c>
      <c r="F4" s="13" t="n">
        <f aca="false">60/E4*C4</f>
        <v>0.72463768115942</v>
      </c>
      <c r="G4" s="1" t="n">
        <f aca="false">VLOOKUP(A4,$M$1:$X$8,9,FALSE())</f>
        <v>20</v>
      </c>
      <c r="H4" s="14" t="n">
        <f aca="false">D4*F4*G4</f>
        <v>57.9710144927536</v>
      </c>
      <c r="I4" s="29" t="s">
        <v>25</v>
      </c>
      <c r="J4" s="30" t="n">
        <v>108.360652769727</v>
      </c>
      <c r="M4" s="17" t="s">
        <v>26</v>
      </c>
      <c r="N4" s="18" t="n">
        <v>0.2</v>
      </c>
      <c r="O4" s="19" t="n">
        <v>18</v>
      </c>
      <c r="P4" s="20" t="n">
        <f aca="false">N4+O4</f>
        <v>18.2</v>
      </c>
      <c r="Q4" s="21" t="n">
        <f aca="false">P4*2</f>
        <v>36.4</v>
      </c>
      <c r="R4" s="22" t="n">
        <v>1</v>
      </c>
      <c r="S4" s="23" t="n">
        <f aca="false">R4/W$2</f>
        <v>0.1</v>
      </c>
      <c r="T4" s="24" t="n">
        <f aca="false">60/(Q4)</f>
        <v>1.64835164835165</v>
      </c>
      <c r="U4" s="25" t="n">
        <v>20</v>
      </c>
      <c r="V4" s="26" t="n">
        <f aca="false">ROUND(R4*T4*U4,0)</f>
        <v>33</v>
      </c>
      <c r="W4" s="27"/>
    </row>
    <row r="5" customFormat="false" ht="15" hidden="false" customHeight="false" outlineLevel="0" collapsed="false">
      <c r="A5" s="10" t="s">
        <v>19</v>
      </c>
      <c r="B5" s="10" t="s">
        <v>27</v>
      </c>
      <c r="C5" s="11" t="n">
        <v>1</v>
      </c>
      <c r="D5" s="28" t="n">
        <f aca="false">VLOOKUP(A5,$M$1:$X$8,6,FALSE())</f>
        <v>4</v>
      </c>
      <c r="E5" s="1" t="n">
        <f aca="false">VLOOKUP(A5,$M$1:$X$8,5,FALSE())</f>
        <v>82.8</v>
      </c>
      <c r="F5" s="13" t="n">
        <f aca="false">60/E5*C5</f>
        <v>0.72463768115942</v>
      </c>
      <c r="G5" s="1" t="n">
        <f aca="false">VLOOKUP(A5,$M$1:$X$8,9,FALSE())</f>
        <v>20</v>
      </c>
      <c r="H5" s="14" t="n">
        <f aca="false">D5*F5*G5</f>
        <v>57.9710144927536</v>
      </c>
      <c r="I5" s="29" t="s">
        <v>27</v>
      </c>
      <c r="J5" s="30" t="n">
        <v>91.965348770374</v>
      </c>
      <c r="M5" s="17" t="s">
        <v>28</v>
      </c>
      <c r="N5" s="18" t="n">
        <v>0.3</v>
      </c>
      <c r="O5" s="19" t="n">
        <v>35</v>
      </c>
      <c r="P5" s="20" t="n">
        <f aca="false">N5+O5</f>
        <v>35.3</v>
      </c>
      <c r="Q5" s="21" t="n">
        <f aca="false">P5*2</f>
        <v>70.6</v>
      </c>
      <c r="R5" s="22" t="n">
        <v>2</v>
      </c>
      <c r="S5" s="23" t="n">
        <f aca="false">R5/W$2</f>
        <v>0.2</v>
      </c>
      <c r="T5" s="24" t="n">
        <f aca="false">60/(Q5)</f>
        <v>0.84985835694051</v>
      </c>
      <c r="U5" s="25" t="n">
        <v>20</v>
      </c>
      <c r="V5" s="26" t="n">
        <f aca="false">ROUND(R5*T5*U5,0)</f>
        <v>34</v>
      </c>
      <c r="W5" s="27"/>
    </row>
    <row r="6" customFormat="false" ht="15" hidden="false" customHeight="false" outlineLevel="0" collapsed="false">
      <c r="A6" s="10" t="s">
        <v>19</v>
      </c>
      <c r="B6" s="10" t="s">
        <v>22</v>
      </c>
      <c r="C6" s="11" t="n">
        <v>1</v>
      </c>
      <c r="D6" s="28" t="n">
        <f aca="false">VLOOKUP(A6,$M$1:$X$8,6,FALSE())</f>
        <v>4</v>
      </c>
      <c r="E6" s="1" t="n">
        <f aca="false">VLOOKUP(A6,$M$1:$X$8,5,FALSE())</f>
        <v>82.8</v>
      </c>
      <c r="F6" s="13" t="n">
        <f aca="false">60/E6*C6</f>
        <v>0.72463768115942</v>
      </c>
      <c r="G6" s="1" t="n">
        <f aca="false">VLOOKUP(A6,$M$1:$X$8,9,FALSE())</f>
        <v>20</v>
      </c>
      <c r="H6" s="14" t="n">
        <f aca="false">D6*F6*G6</f>
        <v>57.9710144927536</v>
      </c>
      <c r="I6" s="29" t="s">
        <v>29</v>
      </c>
      <c r="J6" s="30" t="n">
        <v>57.9710144927536</v>
      </c>
      <c r="M6" s="17" t="s">
        <v>30</v>
      </c>
      <c r="N6" s="18" t="n">
        <v>0.3</v>
      </c>
      <c r="O6" s="19" t="n">
        <v>60</v>
      </c>
      <c r="P6" s="20" t="n">
        <f aca="false">N6+O6</f>
        <v>60.3</v>
      </c>
      <c r="Q6" s="21" t="n">
        <f aca="false">P6*2</f>
        <v>120.6</v>
      </c>
      <c r="R6" s="22" t="n">
        <v>1</v>
      </c>
      <c r="S6" s="23" t="n">
        <f aca="false">R6/W$2</f>
        <v>0.1</v>
      </c>
      <c r="T6" s="24" t="n">
        <f aca="false">60/(Q6)</f>
        <v>0.497512437810945</v>
      </c>
      <c r="U6" s="25" t="n">
        <v>20</v>
      </c>
      <c r="V6" s="26" t="n">
        <f aca="false">ROUND(R6*T6*U6,0)</f>
        <v>10</v>
      </c>
      <c r="W6" s="27"/>
    </row>
    <row r="7" customFormat="false" ht="15" hidden="false" customHeight="false" outlineLevel="0" collapsed="false">
      <c r="A7" s="31" t="s">
        <v>19</v>
      </c>
      <c r="B7" s="10" t="s">
        <v>29</v>
      </c>
      <c r="C7" s="32" t="n">
        <v>1</v>
      </c>
      <c r="D7" s="28" t="n">
        <f aca="false">VLOOKUP(A7,$M$1:$X$8,6,FALSE())</f>
        <v>4</v>
      </c>
      <c r="E7" s="1" t="n">
        <f aca="false">VLOOKUP(A7,$M$1:$X$8,5,FALSE())</f>
        <v>82.8</v>
      </c>
      <c r="F7" s="13" t="n">
        <f aca="false">60/E7*C7</f>
        <v>0.72463768115942</v>
      </c>
      <c r="G7" s="1" t="n">
        <f aca="false">VLOOKUP(A7,$M$1:$X$8,9,FALSE())</f>
        <v>20</v>
      </c>
      <c r="H7" s="14" t="n">
        <f aca="false">D7*F7*G7</f>
        <v>57.9710144927536</v>
      </c>
      <c r="I7" s="29" t="s">
        <v>31</v>
      </c>
      <c r="J7" s="30" t="n">
        <v>24.6913580246914</v>
      </c>
      <c r="M7" s="17" t="s">
        <v>32</v>
      </c>
      <c r="N7" s="18" t="n">
        <v>0.1</v>
      </c>
      <c r="O7" s="33" t="n">
        <v>38</v>
      </c>
      <c r="P7" s="20" t="n">
        <f aca="false">N7+O7</f>
        <v>38.1</v>
      </c>
      <c r="Q7" s="21" t="n">
        <f aca="false">P7*2</f>
        <v>76.2</v>
      </c>
      <c r="R7" s="22" t="n">
        <v>1</v>
      </c>
      <c r="S7" s="23" t="n">
        <f aca="false">R7/W$2</f>
        <v>0.1</v>
      </c>
      <c r="T7" s="24" t="n">
        <f aca="false">60/(Q7)</f>
        <v>0.78740157480315</v>
      </c>
      <c r="U7" s="25" t="n">
        <v>20</v>
      </c>
      <c r="V7" s="26" t="n">
        <f aca="false">ROUND(R7*T7*U7,0)</f>
        <v>16</v>
      </c>
      <c r="W7" s="27"/>
    </row>
    <row r="8" customFormat="false" ht="15" hidden="false" customHeight="false" outlineLevel="0" collapsed="false">
      <c r="A8" s="31" t="s">
        <v>19</v>
      </c>
      <c r="B8" s="10" t="s">
        <v>33</v>
      </c>
      <c r="C8" s="1" t="n">
        <v>1</v>
      </c>
      <c r="D8" s="1" t="n">
        <f aca="false">VLOOKUP(A8,$M$1:$X$8,6,FALSE())</f>
        <v>4</v>
      </c>
      <c r="E8" s="1" t="n">
        <f aca="false">VLOOKUP(A8,$M$1:$X$8,5,FALSE())</f>
        <v>82.8</v>
      </c>
      <c r="F8" s="13" t="n">
        <f aca="false">60/E8*C8</f>
        <v>0.72463768115942</v>
      </c>
      <c r="G8" s="1" t="n">
        <f aca="false">VLOOKUP(A8,$M$1:$X$8,9,FALSE())</f>
        <v>20</v>
      </c>
      <c r="H8" s="14" t="n">
        <f aca="false">D8*F8*G8</f>
        <v>57.9710144927536</v>
      </c>
      <c r="I8" s="29" t="s">
        <v>33</v>
      </c>
      <c r="J8" s="30" t="n">
        <v>92.6126212736639</v>
      </c>
      <c r="M8" s="34"/>
      <c r="N8" s="35"/>
      <c r="O8" s="35"/>
      <c r="P8" s="35"/>
      <c r="Q8" s="35"/>
      <c r="R8" s="35"/>
      <c r="S8" s="36" t="n">
        <f aca="false">SUM(S2:S7)</f>
        <v>1</v>
      </c>
      <c r="T8" s="37"/>
      <c r="U8" s="35"/>
      <c r="V8" s="35" t="n">
        <f aca="false">SUM(V2:V7)</f>
        <v>176</v>
      </c>
      <c r="W8" s="38"/>
    </row>
    <row r="9" customFormat="false" ht="15" hidden="false" customHeight="false" outlineLevel="0" collapsed="false">
      <c r="A9" s="10" t="s">
        <v>19</v>
      </c>
      <c r="B9" s="10" t="s">
        <v>25</v>
      </c>
      <c r="C9" s="11" t="n">
        <v>1</v>
      </c>
      <c r="D9" s="28" t="n">
        <f aca="false">VLOOKUP(A9,$M$1:$X$8,6,FALSE())</f>
        <v>4</v>
      </c>
      <c r="E9" s="1" t="n">
        <f aca="false">VLOOKUP(A9,$M$1:$X$8,5,FALSE())</f>
        <v>82.8</v>
      </c>
      <c r="F9" s="13" t="n">
        <f aca="false">60/E9*C9</f>
        <v>0.72463768115942</v>
      </c>
      <c r="G9" s="1" t="n">
        <f aca="false">VLOOKUP(A9,$M$1:$X$8,9,FALSE())</f>
        <v>20</v>
      </c>
      <c r="H9" s="14" t="n">
        <f aca="false">D9*F9*G9</f>
        <v>57.9710144927536</v>
      </c>
      <c r="I9" s="29" t="s">
        <v>20</v>
      </c>
      <c r="J9" s="30" t="n">
        <v>175.32202001438</v>
      </c>
    </row>
    <row r="10" customFormat="false" ht="15" hidden="false" customHeight="false" outlineLevel="0" collapsed="false">
      <c r="A10" s="10" t="s">
        <v>23</v>
      </c>
      <c r="B10" s="10" t="s">
        <v>20</v>
      </c>
      <c r="C10" s="10" t="n">
        <v>1</v>
      </c>
      <c r="D10" s="9" t="n">
        <f aca="false">VLOOKUP(A10,$M$1:$X$8,6,FALSE())</f>
        <v>1</v>
      </c>
      <c r="E10" s="14" t="n">
        <f aca="false">VLOOKUP(A10,$M$1:$X$8,5,FALSE())</f>
        <v>48.6</v>
      </c>
      <c r="F10" s="13" t="n">
        <f aca="false">60/E10*C10</f>
        <v>1.23456790123457</v>
      </c>
      <c r="G10" s="1" t="n">
        <f aca="false">VLOOKUP(A10,$M$1:$X$8,9,FALSE())</f>
        <v>20</v>
      </c>
      <c r="H10" s="14" t="n">
        <f aca="false">D10*F10*G10</f>
        <v>24.6913580246914</v>
      </c>
      <c r="I10" s="29" t="s">
        <v>34</v>
      </c>
      <c r="J10" s="30" t="n">
        <v>32.967032967033</v>
      </c>
    </row>
    <row r="11" customFormat="false" ht="15" hidden="false" customHeight="false" outlineLevel="0" collapsed="false">
      <c r="A11" s="10" t="s">
        <v>23</v>
      </c>
      <c r="B11" s="10" t="s">
        <v>21</v>
      </c>
      <c r="C11" s="10" t="n">
        <v>1</v>
      </c>
      <c r="D11" s="27" t="n">
        <f aca="false">VLOOKUP(A11,$M$1:$X$8,6,FALSE())</f>
        <v>1</v>
      </c>
      <c r="E11" s="14" t="n">
        <f aca="false">VLOOKUP(A11,$M$1:$X$8,5,FALSE())</f>
        <v>48.6</v>
      </c>
      <c r="F11" s="13" t="n">
        <f aca="false">60/E11*C11</f>
        <v>1.23456790123457</v>
      </c>
      <c r="G11" s="1" t="n">
        <f aca="false">VLOOKUP(A11,$M$1:$X$8,9,FALSE())</f>
        <v>20</v>
      </c>
      <c r="H11" s="14" t="n">
        <f aca="false">D11*F11*G11</f>
        <v>24.6913580246914</v>
      </c>
      <c r="I11" s="29" t="s">
        <v>35</v>
      </c>
      <c r="J11" s="30" t="n">
        <v>32.967032967033</v>
      </c>
    </row>
    <row r="12" customFormat="false" ht="15" hidden="false" customHeight="false" outlineLevel="0" collapsed="false">
      <c r="A12" s="10" t="s">
        <v>23</v>
      </c>
      <c r="B12" s="10" t="s">
        <v>33</v>
      </c>
      <c r="C12" s="10" t="n">
        <v>1</v>
      </c>
      <c r="D12" s="27" t="n">
        <f aca="false">VLOOKUP(A12,$M$1:$X$8,6,FALSE())</f>
        <v>1</v>
      </c>
      <c r="E12" s="14" t="n">
        <f aca="false">VLOOKUP(A12,$M$1:$X$8,5,FALSE())</f>
        <v>48.6</v>
      </c>
      <c r="F12" s="13" t="n">
        <f aca="false">60/E12*C12</f>
        <v>1.23456790123457</v>
      </c>
      <c r="G12" s="1" t="n">
        <f aca="false">VLOOKUP(A12,$M$1:$X$8,9,FALSE())</f>
        <v>20</v>
      </c>
      <c r="H12" s="14" t="n">
        <f aca="false">D12*F12*G12</f>
        <v>24.6913580246914</v>
      </c>
      <c r="I12" s="29" t="s">
        <v>36</v>
      </c>
      <c r="J12" s="30" t="n">
        <v>32.967032967033</v>
      </c>
    </row>
    <row r="13" customFormat="false" ht="15" hidden="false" customHeight="false" outlineLevel="0" collapsed="false">
      <c r="A13" s="10" t="s">
        <v>23</v>
      </c>
      <c r="B13" s="10" t="s">
        <v>31</v>
      </c>
      <c r="C13" s="10" t="n">
        <v>1</v>
      </c>
      <c r="D13" s="27" t="n">
        <f aca="false">VLOOKUP(A13,$M$1:$X$8,6,FALSE())</f>
        <v>1</v>
      </c>
      <c r="E13" s="14" t="n">
        <f aca="false">VLOOKUP(A13,$M$1:$X$8,5,FALSE())</f>
        <v>48.6</v>
      </c>
      <c r="F13" s="13" t="n">
        <f aca="false">60/E13*C13</f>
        <v>1.23456790123457</v>
      </c>
      <c r="G13" s="1" t="n">
        <f aca="false">VLOOKUP(A13,$M$1:$X$8,9,FALSE())</f>
        <v>20</v>
      </c>
      <c r="H13" s="14" t="n">
        <f aca="false">D13*F13*G13</f>
        <v>24.6913580246914</v>
      </c>
      <c r="I13" s="29" t="s">
        <v>24</v>
      </c>
      <c r="J13" s="39" t="n">
        <v>101.915597526593</v>
      </c>
    </row>
    <row r="14" customFormat="false" ht="15" hidden="false" customHeight="false" outlineLevel="0" collapsed="false">
      <c r="A14" s="10" t="s">
        <v>23</v>
      </c>
      <c r="B14" s="10" t="s">
        <v>25</v>
      </c>
      <c r="C14" s="10" t="n">
        <v>1</v>
      </c>
      <c r="D14" s="38" t="n">
        <f aca="false">VLOOKUP(A14,$M$1:$X$8,6,FALSE())</f>
        <v>1</v>
      </c>
      <c r="E14" s="14" t="n">
        <f aca="false">VLOOKUP(A14,$M$1:$X$8,5,FALSE())</f>
        <v>48.6</v>
      </c>
      <c r="F14" s="13" t="n">
        <f aca="false">60/E14*C14</f>
        <v>1.23456790123457</v>
      </c>
      <c r="G14" s="1" t="n">
        <f aca="false">VLOOKUP(A14,$M$1:$X$8,9,FALSE())</f>
        <v>20</v>
      </c>
      <c r="H14" s="14" t="n">
        <f aca="false">D14*F14*G14</f>
        <v>24.6913580246914</v>
      </c>
      <c r="I14" s="40" t="s">
        <v>37</v>
      </c>
      <c r="J14" s="41" t="n">
        <v>986.060047591004</v>
      </c>
    </row>
    <row r="15" customFormat="false" ht="15" hidden="false" customHeight="false" outlineLevel="0" collapsed="false">
      <c r="A15" s="10" t="s">
        <v>26</v>
      </c>
      <c r="B15" s="10" t="s">
        <v>20</v>
      </c>
      <c r="C15" s="10" t="n">
        <v>1</v>
      </c>
      <c r="D15" s="9" t="n">
        <f aca="false">VLOOKUP(A15,$M$1:$X$8,6,FALSE())</f>
        <v>1</v>
      </c>
      <c r="E15" s="14" t="n">
        <f aca="false">VLOOKUP(A15,$M$1:$X$8,5,FALSE())</f>
        <v>36.4</v>
      </c>
      <c r="F15" s="13" t="n">
        <f aca="false">60/E15*C15</f>
        <v>1.64835164835165</v>
      </c>
      <c r="G15" s="1" t="n">
        <f aca="false">VLOOKUP(A15,$M$1:$X$8,9,FALSE())</f>
        <v>20</v>
      </c>
      <c r="H15" s="14" t="n">
        <f aca="false">D15*F15*G15</f>
        <v>32.967032967033</v>
      </c>
    </row>
    <row r="16" customFormat="false" ht="15" hidden="false" customHeight="false" outlineLevel="0" collapsed="false">
      <c r="A16" s="10" t="s">
        <v>26</v>
      </c>
      <c r="B16" s="10" t="s">
        <v>34</v>
      </c>
      <c r="C16" s="10" t="n">
        <v>1</v>
      </c>
      <c r="D16" s="27" t="n">
        <f aca="false">VLOOKUP(A16,$M$1:$X$8,6,FALSE())</f>
        <v>1</v>
      </c>
      <c r="E16" s="14" t="n">
        <f aca="false">VLOOKUP(A16,$M$1:$X$8,5,FALSE())</f>
        <v>36.4</v>
      </c>
      <c r="F16" s="13" t="n">
        <f aca="false">60/E16*C16</f>
        <v>1.64835164835165</v>
      </c>
      <c r="G16" s="1" t="n">
        <f aca="false">VLOOKUP(A16,$M$1:$X$8,9,FALSE())</f>
        <v>20</v>
      </c>
      <c r="H16" s="14" t="n">
        <f aca="false">D16*F16*G16</f>
        <v>32.967032967033</v>
      </c>
    </row>
    <row r="17" customFormat="false" ht="15" hidden="false" customHeight="false" outlineLevel="0" collapsed="false">
      <c r="A17" s="10" t="s">
        <v>26</v>
      </c>
      <c r="B17" s="10" t="s">
        <v>35</v>
      </c>
      <c r="C17" s="10" t="n">
        <v>1</v>
      </c>
      <c r="D17" s="27" t="n">
        <f aca="false">VLOOKUP(A17,$M$1:$X$8,6,FALSE())</f>
        <v>1</v>
      </c>
      <c r="E17" s="14" t="n">
        <f aca="false">VLOOKUP(A17,$M$1:$X$8,5,FALSE())</f>
        <v>36.4</v>
      </c>
      <c r="F17" s="13" t="n">
        <f aca="false">60/E17*C17</f>
        <v>1.64835164835165</v>
      </c>
      <c r="G17" s="1" t="n">
        <f aca="false">VLOOKUP(A17,$M$1:$X$8,9,FALSE())</f>
        <v>20</v>
      </c>
      <c r="H17" s="14" t="n">
        <f aca="false">D17*F17*G17</f>
        <v>32.967032967033</v>
      </c>
    </row>
    <row r="18" customFormat="false" ht="15" hidden="false" customHeight="false" outlineLevel="0" collapsed="false">
      <c r="A18" s="10" t="s">
        <v>26</v>
      </c>
      <c r="B18" s="10" t="s">
        <v>36</v>
      </c>
      <c r="C18" s="10" t="n">
        <v>1</v>
      </c>
      <c r="D18" s="27" t="n">
        <f aca="false">VLOOKUP(A18,$M$1:$X$8,6,FALSE())</f>
        <v>1</v>
      </c>
      <c r="E18" s="14" t="n">
        <f aca="false">VLOOKUP(A18,$M$1:$X$8,5,FALSE())</f>
        <v>36.4</v>
      </c>
      <c r="F18" s="13" t="n">
        <f aca="false">60/E18*C18</f>
        <v>1.64835164835165</v>
      </c>
      <c r="G18" s="1" t="n">
        <f aca="false">VLOOKUP(A18,$M$1:$X$8,9,FALSE())</f>
        <v>20</v>
      </c>
      <c r="H18" s="14" t="n">
        <f aca="false">D18*F18*G18</f>
        <v>32.967032967033</v>
      </c>
    </row>
    <row r="19" customFormat="false" ht="15" hidden="false" customHeight="false" outlineLevel="0" collapsed="false">
      <c r="A19" s="10" t="s">
        <v>26</v>
      </c>
      <c r="B19" s="10" t="s">
        <v>25</v>
      </c>
      <c r="C19" s="10" t="n">
        <v>0</v>
      </c>
      <c r="D19" s="27" t="n">
        <f aca="false">VLOOKUP(A19,$M$1:$X$8,6,FALSE())</f>
        <v>1</v>
      </c>
      <c r="E19" s="14" t="n">
        <f aca="false">VLOOKUP(A19,$M$1:$X$8,5,FALSE())</f>
        <v>36.4</v>
      </c>
      <c r="F19" s="13" t="n">
        <f aca="false">60/E19*C19</f>
        <v>0</v>
      </c>
      <c r="G19" s="1" t="n">
        <f aca="false">VLOOKUP(A19,$M$1:$X$8,9,FALSE())</f>
        <v>20</v>
      </c>
      <c r="H19" s="14" t="n">
        <f aca="false">D19*F19*G19</f>
        <v>0</v>
      </c>
    </row>
    <row r="20" customFormat="false" ht="15" hidden="false" customHeight="false" outlineLevel="0" collapsed="false">
      <c r="A20" s="10" t="s">
        <v>32</v>
      </c>
      <c r="B20" s="10" t="s">
        <v>20</v>
      </c>
      <c r="C20" s="11" t="n">
        <v>1</v>
      </c>
      <c r="D20" s="12" t="n">
        <f aca="false">VLOOKUP(A20,$M$1:$X$8,6,FALSE())</f>
        <v>1</v>
      </c>
      <c r="E20" s="1" t="n">
        <f aca="false">VLOOKUP(A20,$M$1:$X$8,5,FALSE())</f>
        <v>76.2</v>
      </c>
      <c r="F20" s="13" t="n">
        <f aca="false">60/E20*C20</f>
        <v>0.78740157480315</v>
      </c>
      <c r="G20" s="1" t="n">
        <f aca="false">VLOOKUP(A20,$M$1:$X$8,9,FALSE())</f>
        <v>20</v>
      </c>
      <c r="H20" s="14" t="n">
        <f aca="false">D20*F20*G20</f>
        <v>15.748031496063</v>
      </c>
    </row>
    <row r="21" customFormat="false" ht="15" hidden="false" customHeight="false" outlineLevel="0" collapsed="false">
      <c r="A21" s="10" t="s">
        <v>32</v>
      </c>
      <c r="B21" s="10" t="s">
        <v>21</v>
      </c>
      <c r="C21" s="11" t="n">
        <v>1</v>
      </c>
      <c r="D21" s="28" t="n">
        <f aca="false">VLOOKUP(A21,$M$1:$X$8,6,FALSE())</f>
        <v>1</v>
      </c>
      <c r="E21" s="1" t="n">
        <f aca="false">VLOOKUP(A21,$M$1:$X$8,5,FALSE())</f>
        <v>76.2</v>
      </c>
      <c r="F21" s="13" t="n">
        <f aca="false">60/E21*C21</f>
        <v>0.78740157480315</v>
      </c>
      <c r="G21" s="1" t="n">
        <f aca="false">VLOOKUP(A21,$M$1:$X$8,9,FALSE())</f>
        <v>20</v>
      </c>
      <c r="H21" s="14" t="n">
        <f aca="false">D21*F21*G21</f>
        <v>15.748031496063</v>
      </c>
    </row>
    <row r="22" customFormat="false" ht="15" hidden="false" customHeight="false" outlineLevel="0" collapsed="false">
      <c r="A22" s="10" t="s">
        <v>32</v>
      </c>
      <c r="B22" s="10" t="s">
        <v>33</v>
      </c>
      <c r="C22" s="32" t="n">
        <v>0</v>
      </c>
      <c r="D22" s="28" t="n">
        <f aca="false">VLOOKUP(A22,$M$1:$X$8,6,FALSE())</f>
        <v>1</v>
      </c>
      <c r="E22" s="1" t="n">
        <f aca="false">VLOOKUP(A22,$M$1:$X$8,5,FALSE())</f>
        <v>76.2</v>
      </c>
      <c r="F22" s="13" t="n">
        <f aca="false">60/E22*C22</f>
        <v>0</v>
      </c>
      <c r="G22" s="1" t="n">
        <f aca="false">VLOOKUP(A22,$M$1:$X$8,9,FALSE())</f>
        <v>20</v>
      </c>
      <c r="H22" s="14" t="n">
        <f aca="false">D22*F22*G22</f>
        <v>0</v>
      </c>
    </row>
    <row r="23" customFormat="false" ht="15" hidden="false" customHeight="false" outlineLevel="0" collapsed="false">
      <c r="A23" s="10" t="s">
        <v>32</v>
      </c>
      <c r="B23" s="10" t="s">
        <v>25</v>
      </c>
      <c r="C23" s="11" t="n">
        <v>1</v>
      </c>
      <c r="D23" s="42" t="n">
        <f aca="false">VLOOKUP(A23,$M$1:$X$8,6,FALSE())</f>
        <v>1</v>
      </c>
      <c r="E23" s="1" t="n">
        <f aca="false">VLOOKUP(A23,$M$1:$X$8,5,FALSE())</f>
        <v>76.2</v>
      </c>
      <c r="F23" s="13" t="n">
        <f aca="false">60/E23*C23</f>
        <v>0.78740157480315</v>
      </c>
      <c r="G23" s="1" t="n">
        <f aca="false">VLOOKUP(A23,$M$1:$X$8,9,FALSE())</f>
        <v>20</v>
      </c>
      <c r="H23" s="14" t="n">
        <f aca="false">D23*F23*G23</f>
        <v>15.748031496063</v>
      </c>
    </row>
    <row r="24" customFormat="false" ht="15" hidden="false" customHeight="false" outlineLevel="0" collapsed="false">
      <c r="A24" s="10" t="s">
        <v>28</v>
      </c>
      <c r="B24" s="10" t="s">
        <v>20</v>
      </c>
      <c r="C24" s="10" t="n">
        <v>1</v>
      </c>
      <c r="D24" s="27" t="n">
        <f aca="false">VLOOKUP(A24,$M$1:$X$8,6,FALSE())</f>
        <v>2</v>
      </c>
      <c r="E24" s="1" t="n">
        <f aca="false">VLOOKUP(A24,$M$1:$X$8,5,FALSE())</f>
        <v>70.6</v>
      </c>
      <c r="F24" s="13" t="n">
        <f aca="false">60/E24*C24</f>
        <v>0.84985835694051</v>
      </c>
      <c r="G24" s="1" t="n">
        <f aca="false">VLOOKUP(A24,$M$1:$X$8,9,FALSE())</f>
        <v>20</v>
      </c>
      <c r="H24" s="14" t="n">
        <f aca="false">D24*F24*G24</f>
        <v>33.9943342776204</v>
      </c>
    </row>
    <row r="25" customFormat="false" ht="15" hidden="false" customHeight="false" outlineLevel="0" collapsed="false">
      <c r="A25" s="10" t="s">
        <v>28</v>
      </c>
      <c r="B25" s="10" t="s">
        <v>21</v>
      </c>
      <c r="C25" s="10" t="n">
        <v>1</v>
      </c>
      <c r="D25" s="27" t="n">
        <f aca="false">VLOOKUP(A25,$M$1:$X$8,6,FALSE())</f>
        <v>2</v>
      </c>
      <c r="E25" s="1" t="n">
        <f aca="false">VLOOKUP(A25,$M$1:$X$8,5,FALSE())</f>
        <v>70.6</v>
      </c>
      <c r="F25" s="13" t="n">
        <f aca="false">60/E25*C25</f>
        <v>0.84985835694051</v>
      </c>
      <c r="G25" s="1" t="n">
        <f aca="false">VLOOKUP(A25,$M$1:$X$8,9,FALSE())</f>
        <v>20</v>
      </c>
      <c r="H25" s="14" t="n">
        <f aca="false">D25*F25*G25</f>
        <v>33.9943342776204</v>
      </c>
    </row>
    <row r="26" customFormat="false" ht="15" hidden="false" customHeight="false" outlineLevel="0" collapsed="false">
      <c r="A26" s="10" t="s">
        <v>28</v>
      </c>
      <c r="B26" s="1" t="s">
        <v>24</v>
      </c>
      <c r="C26" s="32" t="n">
        <v>1</v>
      </c>
      <c r="D26" s="27" t="n">
        <f aca="false">VLOOKUP(A26,$M$1:$X$8,6,FALSE())</f>
        <v>2</v>
      </c>
      <c r="E26" s="1" t="n">
        <f aca="false">VLOOKUP(A26,$M$1:$X$8,5,FALSE())</f>
        <v>70.6</v>
      </c>
      <c r="F26" s="13" t="n">
        <f aca="false">60/E26*C26</f>
        <v>0.84985835694051</v>
      </c>
      <c r="G26" s="1" t="n">
        <f aca="false">VLOOKUP(A26,$M$1:$X$8,9,FALSE())</f>
        <v>20</v>
      </c>
      <c r="H26" s="14" t="n">
        <f aca="false">D26*F26*G26</f>
        <v>33.9943342776204</v>
      </c>
    </row>
    <row r="27" customFormat="false" ht="15" hidden="false" customHeight="false" outlineLevel="0" collapsed="false">
      <c r="A27" s="10" t="s">
        <v>28</v>
      </c>
      <c r="B27" s="10" t="s">
        <v>27</v>
      </c>
      <c r="C27" s="10" t="n">
        <v>1</v>
      </c>
      <c r="D27" s="27" t="n">
        <f aca="false">VLOOKUP(A27,$M$1:$X$8,6,FALSE())</f>
        <v>2</v>
      </c>
      <c r="E27" s="1" t="n">
        <f aca="false">VLOOKUP(A27,$M$1:$X$8,5,FALSE())</f>
        <v>70.6</v>
      </c>
      <c r="F27" s="13" t="n">
        <f aca="false">60/E27*C27</f>
        <v>0.84985835694051</v>
      </c>
      <c r="G27" s="1" t="n">
        <f aca="false">VLOOKUP(A27,$M$1:$X$8,9,FALSE())</f>
        <v>20</v>
      </c>
      <c r="H27" s="14" t="n">
        <f aca="false">D27*F27*G27</f>
        <v>33.9943342776204</v>
      </c>
    </row>
    <row r="28" customFormat="false" ht="15" hidden="false" customHeight="false" outlineLevel="0" collapsed="false">
      <c r="A28" s="10" t="s">
        <v>28</v>
      </c>
      <c r="B28" s="10" t="s">
        <v>22</v>
      </c>
      <c r="C28" s="10" t="n">
        <v>1</v>
      </c>
      <c r="D28" s="27" t="n">
        <f aca="false">VLOOKUP(A28,$M$1:$X$8,6,FALSE())</f>
        <v>2</v>
      </c>
      <c r="E28" s="1" t="n">
        <f aca="false">VLOOKUP(A28,$M$1:$X$8,5,FALSE())</f>
        <v>70.6</v>
      </c>
      <c r="F28" s="13" t="n">
        <f aca="false">60/E28*C28</f>
        <v>0.84985835694051</v>
      </c>
      <c r="G28" s="1" t="n">
        <f aca="false">VLOOKUP(A28,$M$1:$X$8,9,FALSE())</f>
        <v>20</v>
      </c>
      <c r="H28" s="14" t="n">
        <f aca="false">D28*F28*G28</f>
        <v>33.9943342776204</v>
      </c>
    </row>
    <row r="29" customFormat="false" ht="15" hidden="false" customHeight="false" outlineLevel="0" collapsed="false">
      <c r="A29" s="10" t="s">
        <v>28</v>
      </c>
      <c r="B29" s="10" t="s">
        <v>33</v>
      </c>
      <c r="C29" s="32" t="n">
        <v>0</v>
      </c>
      <c r="D29" s="27" t="n">
        <f aca="false">VLOOKUP(A29,$M$1:$X$8,6,FALSE())</f>
        <v>2</v>
      </c>
      <c r="E29" s="1" t="n">
        <f aca="false">VLOOKUP(A29,$M$1:$X$8,5,FALSE())</f>
        <v>70.6</v>
      </c>
      <c r="F29" s="13" t="n">
        <f aca="false">60/E29*C29</f>
        <v>0</v>
      </c>
      <c r="G29" s="1" t="n">
        <f aca="false">VLOOKUP(A29,$M$1:$X$8,9,FALSE())</f>
        <v>20</v>
      </c>
      <c r="H29" s="14" t="n">
        <f aca="false">D29*F29*G29</f>
        <v>0</v>
      </c>
    </row>
    <row r="30" customFormat="false" ht="15" hidden="false" customHeight="false" outlineLevel="0" collapsed="false">
      <c r="A30" s="10" t="s">
        <v>28</v>
      </c>
      <c r="B30" s="10" t="s">
        <v>25</v>
      </c>
      <c r="C30" s="10" t="n">
        <v>0</v>
      </c>
      <c r="D30" s="27" t="n">
        <f aca="false">VLOOKUP(A30,$M$1:$X$8,6,FALSE())</f>
        <v>2</v>
      </c>
      <c r="E30" s="1" t="n">
        <f aca="false">VLOOKUP(A30,$M$1:$X$8,5,FALSE())</f>
        <v>70.6</v>
      </c>
      <c r="F30" s="13" t="n">
        <f aca="false">60/E30*C30</f>
        <v>0</v>
      </c>
      <c r="G30" s="1" t="n">
        <f aca="false">VLOOKUP(A30,$M$1:$X$8,9,FALSE())</f>
        <v>20</v>
      </c>
      <c r="H30" s="14" t="n">
        <f aca="false">D30*F30*G30</f>
        <v>0</v>
      </c>
    </row>
    <row r="31" customFormat="false" ht="15" hidden="false" customHeight="false" outlineLevel="0" collapsed="false">
      <c r="A31" s="10" t="s">
        <v>30</v>
      </c>
      <c r="B31" s="10" t="s">
        <v>20</v>
      </c>
      <c r="C31" s="10" t="n">
        <v>1</v>
      </c>
      <c r="D31" s="9" t="n">
        <f aca="false">VLOOKUP(A31,$M$1:$X$8,6,FALSE())</f>
        <v>1</v>
      </c>
      <c r="E31" s="1" t="n">
        <f aca="false">VLOOKUP(A31,$M$1:$X$8,5,FALSE())</f>
        <v>120.6</v>
      </c>
      <c r="F31" s="13" t="n">
        <f aca="false">60/E31*C31</f>
        <v>0.497512437810945</v>
      </c>
      <c r="G31" s="1" t="n">
        <f aca="false">VLOOKUP(A31,$M$1:$X$8,9,FALSE())</f>
        <v>20</v>
      </c>
      <c r="H31" s="14" t="n">
        <f aca="false">D31*F31*G31</f>
        <v>9.95024875621891</v>
      </c>
    </row>
    <row r="32" customFormat="false" ht="15" hidden="false" customHeight="false" outlineLevel="0" collapsed="false">
      <c r="A32" s="10" t="s">
        <v>30</v>
      </c>
      <c r="B32" s="10" t="s">
        <v>21</v>
      </c>
      <c r="C32" s="10" t="n">
        <v>1</v>
      </c>
      <c r="D32" s="27" t="n">
        <f aca="false">VLOOKUP(A32,$M$1:$X$8,6,FALSE())</f>
        <v>1</v>
      </c>
      <c r="E32" s="1" t="n">
        <f aca="false">VLOOKUP(A32,$M$1:$X$8,5,FALSE())</f>
        <v>120.6</v>
      </c>
      <c r="F32" s="13" t="n">
        <f aca="false">60/E32*C32</f>
        <v>0.497512437810945</v>
      </c>
      <c r="G32" s="1" t="n">
        <f aca="false">VLOOKUP(A32,$M$1:$X$8,9,FALSE())</f>
        <v>20</v>
      </c>
      <c r="H32" s="14" t="n">
        <f aca="false">D32*F32*G32</f>
        <v>9.95024875621891</v>
      </c>
    </row>
    <row r="33" customFormat="false" ht="15" hidden="false" customHeight="false" outlineLevel="0" collapsed="false">
      <c r="A33" s="10" t="s">
        <v>30</v>
      </c>
      <c r="B33" s="1" t="s">
        <v>24</v>
      </c>
      <c r="C33" s="10" t="n">
        <v>1</v>
      </c>
      <c r="D33" s="27" t="n">
        <f aca="false">VLOOKUP(A33,$M$1:$X$8,6,FALSE())</f>
        <v>1</v>
      </c>
      <c r="E33" s="1" t="n">
        <f aca="false">VLOOKUP(A33,$M$1:$X$8,5,FALSE())</f>
        <v>120.6</v>
      </c>
      <c r="F33" s="13" t="n">
        <f aca="false">60/E33*C33</f>
        <v>0.497512437810945</v>
      </c>
      <c r="G33" s="1" t="n">
        <f aca="false">VLOOKUP(A33,$M$1:$X$8,9,FALSE())</f>
        <v>20</v>
      </c>
      <c r="H33" s="14" t="n">
        <f aca="false">D33*F33*G33</f>
        <v>9.95024875621891</v>
      </c>
    </row>
    <row r="34" customFormat="false" ht="15" hidden="false" customHeight="false" outlineLevel="0" collapsed="false">
      <c r="A34" s="10" t="s">
        <v>30</v>
      </c>
      <c r="B34" s="10" t="s">
        <v>33</v>
      </c>
      <c r="C34" s="10" t="n">
        <v>1</v>
      </c>
      <c r="D34" s="27" t="n">
        <f aca="false">VLOOKUP(A34,$M$1:$X$8,6,FALSE())</f>
        <v>1</v>
      </c>
      <c r="E34" s="1" t="n">
        <f aca="false">VLOOKUP(A34,$M$1:$X$8,5,FALSE())</f>
        <v>120.6</v>
      </c>
      <c r="F34" s="13" t="n">
        <f aca="false">60/E34*C34</f>
        <v>0.497512437810945</v>
      </c>
      <c r="G34" s="1" t="n">
        <f aca="false">VLOOKUP(A34,$M$1:$X$8,9,FALSE())</f>
        <v>20</v>
      </c>
      <c r="H34" s="14" t="n">
        <f aca="false">D34*F34*G34</f>
        <v>9.95024875621891</v>
      </c>
    </row>
    <row r="35" customFormat="false" ht="15" hidden="false" customHeight="false" outlineLevel="0" collapsed="false">
      <c r="A35" s="10" t="s">
        <v>30</v>
      </c>
      <c r="B35" s="10" t="s">
        <v>25</v>
      </c>
      <c r="C35" s="10" t="n">
        <v>1</v>
      </c>
      <c r="D35" s="38" t="n">
        <f aca="false">VLOOKUP(A35,$M$1:$X$8,6,FALSE())</f>
        <v>1</v>
      </c>
      <c r="E35" s="1" t="n">
        <f aca="false">VLOOKUP(A35,$M$1:$X$8,5,FALSE())</f>
        <v>120.6</v>
      </c>
      <c r="F35" s="13" t="n">
        <f aca="false">60/E35*C35</f>
        <v>0.497512437810945</v>
      </c>
      <c r="G35" s="1" t="n">
        <f aca="false">VLOOKUP(A35,$M$1:$X$8,9,FALSE())</f>
        <v>20</v>
      </c>
      <c r="H35" s="14" t="n">
        <f aca="false">D35*F35*G35</f>
        <v>9.95024875621891</v>
      </c>
    </row>
    <row r="37" customFormat="false" ht="15" hidden="false" customHeight="false" outlineLevel="0" collapsed="false">
      <c r="A37" s="43" t="s">
        <v>38</v>
      </c>
      <c r="B37" s="43"/>
      <c r="C37" s="44" t="s">
        <v>39</v>
      </c>
      <c r="D37" s="44"/>
    </row>
    <row r="38" customFormat="false" ht="56.6" hidden="false" customHeight="false" outlineLevel="0" collapsed="false">
      <c r="A38" s="45" t="s">
        <v>40</v>
      </c>
      <c r="B38" s="46" t="s">
        <v>41</v>
      </c>
      <c r="C38" s="47" t="s">
        <v>42</v>
      </c>
      <c r="D38" s="47" t="s">
        <v>43</v>
      </c>
      <c r="E38" s="48"/>
      <c r="F38" s="49" t="s">
        <v>44</v>
      </c>
      <c r="G38" s="47" t="s">
        <v>45</v>
      </c>
      <c r="H38" s="47" t="s">
        <v>46</v>
      </c>
      <c r="I38" s="47" t="s">
        <v>47</v>
      </c>
    </row>
    <row r="39" customFormat="false" ht="17.35" hidden="false" customHeight="false" outlineLevel="0" collapsed="false">
      <c r="A39" s="45" t="s">
        <v>20</v>
      </c>
      <c r="B39" s="50" t="n">
        <v>520</v>
      </c>
      <c r="C39" s="20" t="n">
        <f aca="false">GETPIVOTDATA("Итого",$I$1,"transaction rq",A39)*3</f>
        <v>525.966060043141</v>
      </c>
      <c r="D39" s="51" t="n">
        <f aca="false">1-B39/C39</f>
        <v>0.0113430513798768</v>
      </c>
      <c r="E39" s="52"/>
      <c r="F39" s="53" t="str">
        <f aca="false">VLOOKUP(A39,Соответствие!A:B,2,FALSE())</f>
        <v>TF_home_page</v>
      </c>
      <c r="G39" s="54" t="n">
        <f aca="false">GETPIVOTDATA("Итого",$I$1,"transaction rq",A39)</f>
        <v>175.32202001438</v>
      </c>
      <c r="H39" s="1" t="n">
        <f aca="false">SummaryReport!B9</f>
        <v>174</v>
      </c>
      <c r="I39" s="55" t="n">
        <f aca="false">1-G39/H39</f>
        <v>-0.00759781617459909</v>
      </c>
    </row>
    <row r="40" customFormat="false" ht="17.35" hidden="false" customHeight="false" outlineLevel="0" collapsed="false">
      <c r="A40" s="56" t="s">
        <v>21</v>
      </c>
      <c r="B40" s="50" t="n">
        <v>422</v>
      </c>
      <c r="C40" s="20" t="n">
        <f aca="false">GETPIVOTDATA("Итого",$I$1,"transaction rq",A40)*3</f>
        <v>427.064961142042</v>
      </c>
      <c r="D40" s="51" t="n">
        <f aca="false">1-B40/C40</f>
        <v>0.0118599313989545</v>
      </c>
      <c r="E40" s="52"/>
      <c r="F40" s="53" t="str">
        <f aca="false">VLOOKUP(A40,Соответствие!A:B,2,FALSE())</f>
        <v>TF_login</v>
      </c>
      <c r="G40" s="54" t="n">
        <f aca="false">GETPIVOTDATA("Итого",$I$1,"transaction rq",A40)</f>
        <v>142.354987047347</v>
      </c>
      <c r="H40" s="1" t="n">
        <f aca="false">SummaryReport!B2</f>
        <v>143</v>
      </c>
      <c r="I40" s="55" t="n">
        <f aca="false">1-G40/H40</f>
        <v>0.00451058008848071</v>
      </c>
    </row>
    <row r="41" customFormat="false" ht="31.3" hidden="false" customHeight="false" outlineLevel="0" collapsed="false">
      <c r="A41" s="57" t="s">
        <v>24</v>
      </c>
      <c r="B41" s="50" t="n">
        <v>305</v>
      </c>
      <c r="C41" s="20" t="n">
        <f aca="false">GETPIVOTDATA("Итого",$I$1,"transaction rq",A41)*3</f>
        <v>305.746792579779</v>
      </c>
      <c r="D41" s="51" t="n">
        <f aca="false">1-B41/C41</f>
        <v>0.00244251975131982</v>
      </c>
      <c r="E41" s="52"/>
      <c r="F41" s="53" t="str">
        <f aca="false">VLOOKUP(A41,Соответствие!A:B,2,FALSE())</f>
        <v>TF_flights</v>
      </c>
      <c r="G41" s="54" t="n">
        <f aca="false">GETPIVOTDATA("Итого",$I$1,"transaction rq",A41)</f>
        <v>101.915597526593</v>
      </c>
      <c r="H41" s="1" t="n">
        <f aca="false">SummaryReport!B8</f>
        <v>101</v>
      </c>
      <c r="I41" s="55" t="n">
        <f aca="false">1-G41/H41</f>
        <v>-0.00906532204547461</v>
      </c>
    </row>
    <row r="42" customFormat="false" ht="31.3" hidden="false" customHeight="false" outlineLevel="0" collapsed="false">
      <c r="A42" s="56" t="s">
        <v>27</v>
      </c>
      <c r="B42" s="50" t="n">
        <v>282</v>
      </c>
      <c r="C42" s="20" t="n">
        <f aca="false">GETPIVOTDATA("Итого",$I$1,"transaction rq",A42)*3</f>
        <v>275.896046311122</v>
      </c>
      <c r="D42" s="51" t="n">
        <f aca="false">1-B42/C42</f>
        <v>-0.0221241071428571</v>
      </c>
      <c r="E42" s="52"/>
      <c r="F42" s="53" t="str">
        <f aca="false">VLOOKUP(A42,Соответствие!A:B,2,FALSE())</f>
        <v>TF_flights_find</v>
      </c>
      <c r="G42" s="54" t="n">
        <f aca="false">GETPIVOTDATA("Итого",$I$1,"transaction rq",A42)</f>
        <v>91.965348770374</v>
      </c>
      <c r="H42" s="1" t="n">
        <f aca="false">SummaryReport!B10</f>
        <v>91</v>
      </c>
      <c r="I42" s="55" t="n">
        <f aca="false">1-G42/H42</f>
        <v>-0.0106082282458684</v>
      </c>
    </row>
    <row r="43" customFormat="false" ht="17.35" hidden="false" customHeight="false" outlineLevel="0" collapsed="false">
      <c r="A43" s="56" t="s">
        <v>22</v>
      </c>
      <c r="B43" s="50" t="n">
        <v>270</v>
      </c>
      <c r="C43" s="20" t="n">
        <f aca="false">GETPIVOTDATA("Итого",$I$1,"transaction rq",A43)*3</f>
        <v>275.896046311122</v>
      </c>
      <c r="D43" s="51" t="n">
        <f aca="false">1-B43/C43</f>
        <v>0.0213705357142857</v>
      </c>
      <c r="E43" s="52"/>
      <c r="F43" s="53" t="str">
        <f aca="false">VLOOKUP(A43,Соответствие!A:B,2,FALSE())</f>
        <v>TF_choose_available_flight</v>
      </c>
      <c r="G43" s="54" t="n">
        <f aca="false">GETPIVOTDATA("Итого",$I$1,"transaction rq",A43)</f>
        <v>91.965348770374</v>
      </c>
      <c r="H43" s="1" t="n">
        <f aca="false">SummaryReport!B6</f>
        <v>91</v>
      </c>
      <c r="I43" s="55" t="n">
        <f aca="false">1-G43/H43</f>
        <v>-0.0106082282458684</v>
      </c>
    </row>
    <row r="44" customFormat="false" ht="17.35" hidden="false" customHeight="false" outlineLevel="0" collapsed="false">
      <c r="A44" s="56" t="s">
        <v>29</v>
      </c>
      <c r="B44" s="50" t="n">
        <v>175</v>
      </c>
      <c r="C44" s="20" t="n">
        <f aca="false">GETPIVOTDATA("Итого",$I$1,"transaction rq",A44)*3</f>
        <v>173.913043478261</v>
      </c>
      <c r="D44" s="51" t="n">
        <f aca="false">1-B44/C44</f>
        <v>-0.00624999999999987</v>
      </c>
      <c r="E44" s="52"/>
      <c r="F44" s="53" t="str">
        <f aca="false">VLOOKUP(A44,Соответствие!A:B,2,FALSE())</f>
        <v>TF_payment_details</v>
      </c>
      <c r="G44" s="54" t="n">
        <f aca="false">GETPIVOTDATA("Итого",$I$1,"transaction rq",A44)</f>
        <v>57.9710144927536</v>
      </c>
      <c r="H44" s="1" t="n">
        <f aca="false">SummaryReport!B4</f>
        <v>57</v>
      </c>
      <c r="I44" s="55" t="n">
        <f aca="false">1-G44/H44</f>
        <v>-0.0170353419781337</v>
      </c>
    </row>
    <row r="45" customFormat="false" ht="17.35" hidden="false" customHeight="false" outlineLevel="0" collapsed="false">
      <c r="A45" s="56" t="s">
        <v>33</v>
      </c>
      <c r="B45" s="50" t="n">
        <v>280</v>
      </c>
      <c r="C45" s="20" t="n">
        <f aca="false">GETPIVOTDATA("Итого",$I$1,"transaction rq",A45)*3</f>
        <v>277.837863820992</v>
      </c>
      <c r="D45" s="51" t="n">
        <f aca="false">1-B45/C45</f>
        <v>-0.00778200692041509</v>
      </c>
      <c r="E45" s="58"/>
      <c r="F45" s="53" t="str">
        <f aca="false">VLOOKUP(A45,Соответствие!A:B,2,FALSE())</f>
        <v>TF_itinerary</v>
      </c>
      <c r="G45" s="54" t="n">
        <f aca="false">GETPIVOTDATA("Итого",$I$1,"transaction rq",A45)</f>
        <v>92.6126212736639</v>
      </c>
      <c r="H45" s="1" t="n">
        <f aca="false">SummaryReport!B7</f>
        <v>92</v>
      </c>
      <c r="I45" s="55" t="n">
        <f aca="false">1-G45/H45</f>
        <v>-0.00665892688765091</v>
      </c>
    </row>
    <row r="46" customFormat="false" ht="17.35" hidden="false" customHeight="false" outlineLevel="0" collapsed="false">
      <c r="A46" s="56" t="s">
        <v>31</v>
      </c>
      <c r="B46" s="50" t="n">
        <v>73</v>
      </c>
      <c r="C46" s="20" t="n">
        <f aca="false">GETPIVOTDATA("Итого",$I$1,"transaction rq",A46)*3</f>
        <v>74.0740740740741</v>
      </c>
      <c r="D46" s="51" t="n">
        <f aca="false">1-B46/C46</f>
        <v>0.0145000000000001</v>
      </c>
      <c r="E46" s="52"/>
      <c r="F46" s="53" t="str">
        <f aca="false">VLOOKUP(A46,Соответствие!A:B,2,FALSE())</f>
        <v>TF_itinerary_delete_one (first)</v>
      </c>
      <c r="G46" s="54" t="n">
        <f aca="false">GETPIVOTDATA("Итого",$I$1,"transaction rq",A46)</f>
        <v>24.6913580246914</v>
      </c>
      <c r="H46" s="1" t="n">
        <f aca="false">SummaryReport!B5</f>
        <v>25</v>
      </c>
      <c r="I46" s="55" t="n">
        <f aca="false">1-G46/H46</f>
        <v>0.0123456790123457</v>
      </c>
    </row>
    <row r="47" customFormat="false" ht="17.35" hidden="false" customHeight="false" outlineLevel="0" collapsed="false">
      <c r="A47" s="56" t="s">
        <v>25</v>
      </c>
      <c r="B47" s="50" t="n">
        <v>326</v>
      </c>
      <c r="C47" s="20" t="n">
        <f aca="false">GETPIVOTDATA("Итого",$I$1,"transaction rq",A47)*3</f>
        <v>325.081958309181</v>
      </c>
      <c r="D47" s="51" t="n">
        <f aca="false">1-B47/C47</f>
        <v>-0.00282403150145361</v>
      </c>
      <c r="E47" s="52"/>
      <c r="F47" s="53" t="str">
        <f aca="false">VLOOKUP(A47,Соответствие!A:B,2,FALSE())</f>
        <v>TF_logout</v>
      </c>
      <c r="G47" s="54" t="n">
        <f aca="false">GETPIVOTDATA("Итого",$I$1,"transaction rq",A47)</f>
        <v>108.360652769727</v>
      </c>
      <c r="H47" s="1" t="n">
        <f aca="false">SummaryReport!B3</f>
        <v>108</v>
      </c>
      <c r="I47" s="55" t="n">
        <f aca="false">1-G47/H47</f>
        <v>-0.00333937749747104</v>
      </c>
    </row>
    <row r="48" customFormat="false" ht="31.3" hidden="false" customHeight="false" outlineLevel="0" collapsed="false">
      <c r="A48" s="56" t="s">
        <v>34</v>
      </c>
      <c r="B48" s="50" t="n">
        <v>97</v>
      </c>
      <c r="C48" s="20" t="n">
        <f aca="false">GETPIVOTDATA("Итого",$I$1,"transaction rq",A48)*3</f>
        <v>98.9010989010989</v>
      </c>
      <c r="D48" s="51" t="n">
        <f aca="false">1-B48/C48</f>
        <v>0.0192222222222224</v>
      </c>
      <c r="E48" s="52"/>
      <c r="F48" s="53" t="str">
        <f aca="false">VLOOKUP(A48,Соответствие!A:B,2,FALSE())</f>
        <v>TF_open_register_page</v>
      </c>
      <c r="G48" s="54" t="n">
        <f aca="false">GETPIVOTDATA("Итого",$I$1,"transaction rq",A48)</f>
        <v>32.967032967033</v>
      </c>
      <c r="H48" s="1" t="n">
        <f aca="false">SummaryReport!B11</f>
        <v>32</v>
      </c>
      <c r="I48" s="55" t="n">
        <f aca="false">1-G48/H48</f>
        <v>-0.0302197802197803</v>
      </c>
    </row>
    <row r="49" customFormat="false" ht="38.3" hidden="false" customHeight="true" outlineLevel="0" collapsed="false">
      <c r="A49" s="56" t="s">
        <v>35</v>
      </c>
      <c r="B49" s="50" t="n">
        <v>97</v>
      </c>
      <c r="C49" s="20" t="n">
        <f aca="false">GETPIVOTDATA("Итого",$I$1,"transaction rq",A49)*3</f>
        <v>98.9010989010989</v>
      </c>
      <c r="D49" s="51" t="n">
        <f aca="false">1-B49/C49</f>
        <v>0.0192222222222224</v>
      </c>
      <c r="E49" s="52"/>
      <c r="F49" s="53" t="str">
        <f aca="false">VLOOKUP(A49,Соответствие!A:B,2,FALSE())</f>
        <v>TF_fill_register_page</v>
      </c>
      <c r="G49" s="54" t="n">
        <f aca="false">GETPIVOTDATA("Итого",$I$1,"transaction rq",A49)</f>
        <v>32.967032967033</v>
      </c>
      <c r="H49" s="1" t="n">
        <f aca="false">SummaryReport!B12</f>
        <v>32</v>
      </c>
      <c r="I49" s="55" t="n">
        <f aca="false">1-G49/H49</f>
        <v>-0.0302197802197803</v>
      </c>
    </row>
    <row r="50" customFormat="false" ht="31.3" hidden="false" customHeight="false" outlineLevel="0" collapsed="false">
      <c r="A50" s="56" t="s">
        <v>36</v>
      </c>
      <c r="B50" s="50" t="n">
        <v>97</v>
      </c>
      <c r="C50" s="20" t="n">
        <f aca="false">GETPIVOTDATA("Итого",$I$1,"transaction rq",A50)*3</f>
        <v>98.9010989010989</v>
      </c>
      <c r="D50" s="51" t="n">
        <f aca="false">1-B50/C50</f>
        <v>0.0192222222222224</v>
      </c>
      <c r="E50" s="52"/>
      <c r="F50" s="53" t="str">
        <f aca="false">VLOOKUP(A50,Соответствие!A:B,2,FALSE())</f>
        <v>TF_next_page_after_register_completion</v>
      </c>
      <c r="G50" s="54" t="n">
        <f aca="false">GETPIVOTDATA("Итого",$I$1,"transaction rq",A50)</f>
        <v>32.967032967033</v>
      </c>
      <c r="H50" s="1" t="n">
        <f aca="false">SummaryReport!B13</f>
        <v>32</v>
      </c>
      <c r="I50" s="55" t="n">
        <f aca="false">1-G50/H50</f>
        <v>-0.0302197802197803</v>
      </c>
    </row>
    <row r="51" customFormat="false" ht="17.35" hidden="false" customHeight="false" outlineLevel="0" collapsed="false">
      <c r="A51" s="59" t="s">
        <v>7</v>
      </c>
      <c r="B51" s="60" t="n">
        <f aca="false">SUM(B39:B50)</f>
        <v>2944</v>
      </c>
      <c r="C51" s="61" t="n">
        <f aca="false">SUM(C39:C50)</f>
        <v>2958.18014277301</v>
      </c>
      <c r="D51" s="51" t="n">
        <f aca="false">1-B51/C51</f>
        <v>0.00479353592026932</v>
      </c>
    </row>
    <row r="52" customFormat="false" ht="15" hidden="false" customHeight="false" outlineLevel="0" collapsed="false">
      <c r="I52" s="62"/>
    </row>
    <row r="53" customFormat="false" ht="15" hidden="false" customHeight="false" outlineLevel="0" collapsed="false">
      <c r="A53" s="4"/>
      <c r="B53" s="5"/>
      <c r="C53" s="63" t="s">
        <v>48</v>
      </c>
      <c r="D53" s="63"/>
      <c r="E53" s="63"/>
      <c r="F53" s="63"/>
      <c r="G53" s="63"/>
      <c r="H53" s="63"/>
      <c r="I53" s="9"/>
    </row>
    <row r="54" customFormat="false" ht="13.8" hidden="false" customHeight="false" outlineLevel="0" collapsed="false"/>
  </sheetData>
  <mergeCells count="2">
    <mergeCell ref="A37:B37"/>
    <mergeCell ref="C37:D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47.5"/>
    <col collapsed="false" customWidth="true" hidden="false" outlineLevel="0" max="2" min="2" style="1" width="33.73"/>
  </cols>
  <sheetData>
    <row r="1" customFormat="false" ht="15" hidden="false" customHeight="false" outlineLevel="0" collapsed="false">
      <c r="A1" s="64" t="s">
        <v>49</v>
      </c>
      <c r="B1" s="64" t="s">
        <v>50</v>
      </c>
    </row>
    <row r="2" customFormat="false" ht="15" hidden="false" customHeight="false" outlineLevel="0" collapsed="false">
      <c r="A2" s="53" t="str">
        <f aca="false">'Автоматизированный расчет'!A39</f>
        <v>Главная Welcome страница</v>
      </c>
      <c r="B2" s="53" t="s">
        <v>51</v>
      </c>
    </row>
    <row r="3" customFormat="false" ht="15" hidden="false" customHeight="false" outlineLevel="0" collapsed="false">
      <c r="A3" s="53" t="str">
        <f aca="false">'Автоматизированный расчет'!A40</f>
        <v>Вход в систему</v>
      </c>
      <c r="B3" s="53" t="s">
        <v>52</v>
      </c>
    </row>
    <row r="4" customFormat="false" ht="15" hidden="false" customHeight="false" outlineLevel="0" collapsed="false">
      <c r="A4" s="53" t="str">
        <f aca="false">'Автоматизированный расчет'!A41</f>
        <v>Переход на страницу поиска билетов</v>
      </c>
      <c r="B4" s="53" t="s">
        <v>53</v>
      </c>
    </row>
    <row r="5" customFormat="false" ht="15" hidden="false" customHeight="false" outlineLevel="0" collapsed="false">
      <c r="A5" s="53" t="str">
        <f aca="false">'Автоматизированный расчет'!A42</f>
        <v>Заполнение полей для поиска билета</v>
      </c>
      <c r="B5" s="53" t="s">
        <v>54</v>
      </c>
    </row>
    <row r="6" customFormat="false" ht="15" hidden="false" customHeight="false" outlineLevel="0" collapsed="false">
      <c r="A6" s="53" t="str">
        <f aca="false">'Автоматизированный расчет'!A43</f>
        <v>Выбор рейса из найденных</v>
      </c>
      <c r="B6" s="53" t="s">
        <v>55</v>
      </c>
    </row>
    <row r="7" customFormat="false" ht="15" hidden="false" customHeight="false" outlineLevel="0" collapsed="false">
      <c r="A7" s="53" t="str">
        <f aca="false">'Автоматизированный расчет'!A44</f>
        <v>Оплата билета</v>
      </c>
      <c r="B7" s="53" t="s">
        <v>56</v>
      </c>
    </row>
    <row r="8" customFormat="false" ht="15" hidden="false" customHeight="false" outlineLevel="0" collapsed="false">
      <c r="A8" s="53" t="str">
        <f aca="false">'Автоматизированный расчет'!A45</f>
        <v>Просмотр квитанций</v>
      </c>
      <c r="B8" s="53" t="s">
        <v>57</v>
      </c>
    </row>
    <row r="9" customFormat="false" ht="15" hidden="false" customHeight="false" outlineLevel="0" collapsed="false">
      <c r="A9" s="53" t="str">
        <f aca="false">'Автоматизированный расчет'!A46</f>
        <v>Отмена бронирования</v>
      </c>
      <c r="B9" s="53" t="s">
        <v>58</v>
      </c>
    </row>
    <row r="10" customFormat="false" ht="15" hidden="false" customHeight="false" outlineLevel="0" collapsed="false">
      <c r="A10" s="53" t="str">
        <f aca="false">'Автоматизированный расчет'!A47</f>
        <v>Выход из системы</v>
      </c>
      <c r="B10" s="53" t="s">
        <v>59</v>
      </c>
    </row>
    <row r="11" customFormat="false" ht="15" hidden="false" customHeight="false" outlineLevel="0" collapsed="false">
      <c r="A11" s="53" t="str">
        <f aca="false">'Автоматизированный расчет'!A48</f>
        <v>Перход на страницу регистрации</v>
      </c>
      <c r="B11" s="53" t="s">
        <v>60</v>
      </c>
    </row>
    <row r="12" customFormat="false" ht="15" hidden="false" customHeight="false" outlineLevel="0" collapsed="false">
      <c r="A12" s="53" t="str">
        <f aca="false">'Автоматизированный расчет'!A49</f>
        <v>Заполнение полей регистарции</v>
      </c>
      <c r="B12" s="53" t="s">
        <v>61</v>
      </c>
    </row>
    <row r="13" customFormat="false" ht="15" hidden="false" customHeight="false" outlineLevel="0" collapsed="false">
      <c r="A13" s="53" t="str">
        <f aca="false">'Автоматизированный расчет'!A50</f>
        <v>Переход на следуюущий эран после регистарции</v>
      </c>
      <c r="B13" s="53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0"/>
  <sheetViews>
    <sheetView showFormulas="false" showGridLines="true" showRowColHeaders="true" showZeros="true" rightToLeft="false" tabSelected="false" showOutlineSymbols="true" defaultGridColor="true" view="normal" topLeftCell="B34" colorId="64" zoomScale="90" zoomScaleNormal="90" zoomScalePageLayoutView="100" workbookViewId="0">
      <selection pane="topLeft" activeCell="T46" activeCellId="0" sqref="T46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" width="36.5"/>
    <col collapsed="false" customWidth="true" hidden="false" outlineLevel="0" max="2" min="2" style="1" width="16.83"/>
    <col collapsed="false" customWidth="true" hidden="false" outlineLevel="0" max="3" min="3" style="1" width="12.47"/>
    <col collapsed="false" customWidth="true" hidden="false" outlineLevel="0" max="4" min="4" style="1" width="10.61"/>
    <col collapsed="false" customWidth="true" hidden="false" outlineLevel="0" max="5" min="5" style="1" width="32.67"/>
    <col collapsed="false" customWidth="true" hidden="false" outlineLevel="0" max="6" min="6" style="1" width="11.5"/>
    <col collapsed="false" customWidth="true" hidden="false" outlineLevel="0" max="7" min="7" style="1" width="10.41"/>
    <col collapsed="false" customWidth="true" hidden="false" outlineLevel="0" max="9" min="9" style="1" width="9.2"/>
    <col collapsed="false" customWidth="true" hidden="false" outlineLevel="0" max="10" min="10" style="1" width="17.37"/>
    <col collapsed="false" customWidth="true" hidden="false" outlineLevel="0" max="11" min="11" style="1" width="17.59"/>
    <col collapsed="false" customWidth="true" hidden="false" outlineLevel="0" max="12" min="12" style="1" width="12.3"/>
    <col collapsed="false" customWidth="true" hidden="false" outlineLevel="0" max="13" min="13" style="1" width="11.43"/>
    <col collapsed="false" customWidth="true" hidden="false" outlineLevel="0" max="14" min="14" style="1" width="11.28"/>
    <col collapsed="false" customWidth="true" hidden="false" outlineLevel="0" max="15" min="15" style="1" width="11.12"/>
    <col collapsed="false" customWidth="true" hidden="false" outlineLevel="0" max="16" min="16" style="1" width="11.05"/>
    <col collapsed="false" customWidth="true" hidden="false" outlineLevel="0" max="17" min="17" style="1" width="10.76"/>
    <col collapsed="false" customWidth="true" hidden="false" outlineLevel="0" max="18" min="18" style="1" width="11.87"/>
    <col collapsed="false" customWidth="true" hidden="false" outlineLevel="0" max="19" min="19" style="1" width="11.28"/>
    <col collapsed="false" customWidth="true" hidden="false" outlineLevel="0" max="20" min="20" style="1" width="10.09"/>
    <col collapsed="false" customWidth="true" hidden="false" outlineLevel="0" max="21" min="21" style="1" width="10.61"/>
  </cols>
  <sheetData>
    <row r="1" customFormat="false" ht="29.2" hidden="false" customHeight="true" outlineLevel="0" collapsed="false">
      <c r="B1" s="65"/>
      <c r="H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false" outlineLevel="0" collapsed="false">
      <c r="A2" s="66" t="s">
        <v>63</v>
      </c>
      <c r="B2" s="67" t="n">
        <v>143</v>
      </c>
      <c r="E2" s="68" t="s">
        <v>64</v>
      </c>
      <c r="H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customFormat="false" ht="15" hidden="false" customHeight="true" outlineLevel="0" collapsed="false">
      <c r="A3" s="66" t="s">
        <v>65</v>
      </c>
      <c r="B3" s="67" t="n">
        <v>108</v>
      </c>
      <c r="E3" s="69" t="s">
        <v>66</v>
      </c>
      <c r="F3" s="69" t="s">
        <v>67</v>
      </c>
      <c r="G3" s="69"/>
      <c r="H3" s="69"/>
      <c r="I3" s="69"/>
      <c r="J3" s="69"/>
      <c r="K3" s="69" t="s">
        <v>68</v>
      </c>
      <c r="L3" s="69"/>
      <c r="M3" s="69"/>
      <c r="N3" s="69"/>
      <c r="O3" s="69"/>
      <c r="P3" s="69"/>
      <c r="Q3" s="69"/>
      <c r="R3" s="69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customFormat="false" ht="15" hidden="false" customHeight="false" outlineLevel="0" collapsed="false">
      <c r="A4" s="66" t="s">
        <v>69</v>
      </c>
      <c r="B4" s="67" t="n">
        <v>57</v>
      </c>
      <c r="E4" s="69"/>
      <c r="F4" s="69" t="s">
        <v>70</v>
      </c>
      <c r="G4" s="69" t="s">
        <v>71</v>
      </c>
      <c r="H4" s="69" t="s">
        <v>72</v>
      </c>
      <c r="I4" s="69" t="s">
        <v>73</v>
      </c>
      <c r="J4" s="69" t="s">
        <v>74</v>
      </c>
      <c r="K4" s="69" t="s">
        <v>75</v>
      </c>
      <c r="L4" s="69" t="s">
        <v>76</v>
      </c>
      <c r="M4" s="69" t="s">
        <v>77</v>
      </c>
      <c r="N4" s="69" t="s">
        <v>78</v>
      </c>
      <c r="O4" s="69" t="s">
        <v>79</v>
      </c>
      <c r="P4" s="69" t="s">
        <v>80</v>
      </c>
      <c r="Q4" s="69" t="s">
        <v>81</v>
      </c>
      <c r="R4" s="69" t="s">
        <v>82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15" hidden="false" customHeight="false" outlineLevel="0" collapsed="false">
      <c r="A5" s="66" t="s">
        <v>83</v>
      </c>
      <c r="B5" s="67" t="n">
        <v>25</v>
      </c>
      <c r="E5" s="70" t="s">
        <v>84</v>
      </c>
      <c r="F5" s="71" t="n">
        <v>2424</v>
      </c>
      <c r="G5" s="71" t="n">
        <v>2424</v>
      </c>
      <c r="H5" s="71" t="n">
        <v>0</v>
      </c>
      <c r="I5" s="71" t="s">
        <v>85</v>
      </c>
      <c r="J5" s="71" t="s">
        <v>86</v>
      </c>
      <c r="K5" s="71" t="n">
        <v>1</v>
      </c>
      <c r="L5" s="71" t="n">
        <v>30</v>
      </c>
      <c r="M5" s="71" t="n">
        <v>81</v>
      </c>
      <c r="N5" s="71" t="n">
        <v>97</v>
      </c>
      <c r="O5" s="71" t="n">
        <v>342</v>
      </c>
      <c r="P5" s="71" t="n">
        <v>677</v>
      </c>
      <c r="Q5" s="71" t="n">
        <v>54</v>
      </c>
      <c r="R5" s="71" t="n">
        <v>63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customFormat="false" ht="15" hidden="false" customHeight="false" outlineLevel="0" collapsed="false">
      <c r="A6" s="66" t="s">
        <v>87</v>
      </c>
      <c r="B6" s="67" t="n">
        <v>91</v>
      </c>
      <c r="E6" s="72" t="s">
        <v>88</v>
      </c>
      <c r="F6" s="73" t="n">
        <v>195</v>
      </c>
      <c r="G6" s="73" t="n">
        <v>195</v>
      </c>
      <c r="H6" s="73" t="n">
        <v>0</v>
      </c>
      <c r="I6" s="73" t="s">
        <v>85</v>
      </c>
      <c r="J6" s="73" t="s">
        <v>89</v>
      </c>
      <c r="K6" s="73" t="n">
        <v>49</v>
      </c>
      <c r="L6" s="73" t="n">
        <v>98</v>
      </c>
      <c r="M6" s="73" t="n">
        <v>112</v>
      </c>
      <c r="N6" s="73" t="n">
        <v>136</v>
      </c>
      <c r="O6" s="73" t="n">
        <v>857</v>
      </c>
      <c r="P6" s="73" t="n">
        <v>948</v>
      </c>
      <c r="Q6" s="73" t="n">
        <v>129</v>
      </c>
      <c r="R6" s="73" t="n">
        <v>163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customFormat="false" ht="15" hidden="false" customHeight="false" outlineLevel="0" collapsed="false">
      <c r="A7" s="66" t="s">
        <v>90</v>
      </c>
      <c r="B7" s="67" t="n">
        <v>92</v>
      </c>
      <c r="E7" s="70" t="s">
        <v>91</v>
      </c>
      <c r="F7" s="71" t="n">
        <v>195</v>
      </c>
      <c r="G7" s="71" t="n">
        <v>195</v>
      </c>
      <c r="H7" s="71" t="n">
        <v>0</v>
      </c>
      <c r="I7" s="71" t="s">
        <v>85</v>
      </c>
      <c r="J7" s="71" t="s">
        <v>89</v>
      </c>
      <c r="K7" s="71" t="n">
        <v>1</v>
      </c>
      <c r="L7" s="71" t="n">
        <v>2</v>
      </c>
      <c r="M7" s="71" t="n">
        <v>2</v>
      </c>
      <c r="N7" s="71" t="n">
        <v>2</v>
      </c>
      <c r="O7" s="71" t="n">
        <v>50</v>
      </c>
      <c r="P7" s="71" t="n">
        <v>50</v>
      </c>
      <c r="Q7" s="71" t="n">
        <v>2</v>
      </c>
      <c r="R7" s="71" t="n">
        <v>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customFormat="false" ht="15" hidden="false" customHeight="false" outlineLevel="0" collapsed="false">
      <c r="A8" s="66" t="s">
        <v>92</v>
      </c>
      <c r="B8" s="67" t="n">
        <v>101</v>
      </c>
      <c r="E8" s="70" t="s">
        <v>93</v>
      </c>
      <c r="F8" s="71" t="n">
        <v>195</v>
      </c>
      <c r="G8" s="71" t="n">
        <v>195</v>
      </c>
      <c r="H8" s="71" t="n">
        <v>0</v>
      </c>
      <c r="I8" s="71" t="s">
        <v>85</v>
      </c>
      <c r="J8" s="71" t="s">
        <v>89</v>
      </c>
      <c r="K8" s="71" t="n">
        <v>21</v>
      </c>
      <c r="L8" s="71" t="n">
        <v>23</v>
      </c>
      <c r="M8" s="71" t="n">
        <v>23</v>
      </c>
      <c r="N8" s="71" t="n">
        <v>43</v>
      </c>
      <c r="O8" s="71" t="n">
        <v>595</v>
      </c>
      <c r="P8" s="71" t="n">
        <v>595</v>
      </c>
      <c r="Q8" s="71" t="n">
        <v>40</v>
      </c>
      <c r="R8" s="71" t="n">
        <v>77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customFormat="false" ht="15" hidden="false" customHeight="false" outlineLevel="0" collapsed="false">
      <c r="A9" s="66" t="s">
        <v>94</v>
      </c>
      <c r="B9" s="67" t="n">
        <v>174</v>
      </c>
      <c r="E9" s="70" t="s">
        <v>95</v>
      </c>
      <c r="F9" s="71" t="n">
        <v>195</v>
      </c>
      <c r="G9" s="71" t="n">
        <v>195</v>
      </c>
      <c r="H9" s="71" t="n">
        <v>0</v>
      </c>
      <c r="I9" s="71" t="s">
        <v>85</v>
      </c>
      <c r="J9" s="71" t="s">
        <v>89</v>
      </c>
      <c r="K9" s="71" t="n">
        <v>24</v>
      </c>
      <c r="L9" s="71" t="n">
        <v>73</v>
      </c>
      <c r="M9" s="71" t="n">
        <v>87</v>
      </c>
      <c r="N9" s="71" t="n">
        <v>95</v>
      </c>
      <c r="O9" s="71" t="n">
        <v>677</v>
      </c>
      <c r="P9" s="71" t="n">
        <v>677</v>
      </c>
      <c r="Q9" s="71" t="n">
        <v>84</v>
      </c>
      <c r="R9" s="71" t="n">
        <v>101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customFormat="false" ht="15" hidden="false" customHeight="false" outlineLevel="0" collapsed="false">
      <c r="A10" s="66" t="s">
        <v>96</v>
      </c>
      <c r="B10" s="67" t="n">
        <v>91</v>
      </c>
      <c r="E10" s="72" t="s">
        <v>97</v>
      </c>
      <c r="F10" s="73" t="n">
        <v>158</v>
      </c>
      <c r="G10" s="73" t="n">
        <v>158</v>
      </c>
      <c r="H10" s="73" t="n">
        <v>0</v>
      </c>
      <c r="I10" s="73" t="s">
        <v>85</v>
      </c>
      <c r="J10" s="73" t="s">
        <v>98</v>
      </c>
      <c r="K10" s="73" t="n">
        <v>132</v>
      </c>
      <c r="L10" s="73" t="n">
        <v>184</v>
      </c>
      <c r="M10" s="73" t="n">
        <v>217</v>
      </c>
      <c r="N10" s="73" t="n">
        <v>402</v>
      </c>
      <c r="O10" s="73" t="n">
        <v>1225</v>
      </c>
      <c r="P10" s="73" t="n">
        <v>1345</v>
      </c>
      <c r="Q10" s="73" t="n">
        <v>248</v>
      </c>
      <c r="R10" s="73" t="n">
        <v>221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customFormat="false" ht="15" hidden="false" customHeight="false" outlineLevel="0" collapsed="false">
      <c r="A11" s="66" t="s">
        <v>99</v>
      </c>
      <c r="B11" s="67" t="n">
        <v>32</v>
      </c>
      <c r="E11" s="70" t="s">
        <v>100</v>
      </c>
      <c r="F11" s="71" t="n">
        <v>316</v>
      </c>
      <c r="G11" s="71" t="n">
        <v>316</v>
      </c>
      <c r="H11" s="71" t="n">
        <v>0</v>
      </c>
      <c r="I11" s="71" t="s">
        <v>85</v>
      </c>
      <c r="J11" s="71" t="s">
        <v>101</v>
      </c>
      <c r="K11" s="71" t="n">
        <v>25</v>
      </c>
      <c r="L11" s="71" t="n">
        <v>87</v>
      </c>
      <c r="M11" s="71" t="n">
        <v>93</v>
      </c>
      <c r="N11" s="71" t="n">
        <v>136</v>
      </c>
      <c r="O11" s="71" t="n">
        <v>470</v>
      </c>
      <c r="P11" s="71" t="n">
        <v>597</v>
      </c>
      <c r="Q11" s="71" t="n">
        <v>82</v>
      </c>
      <c r="R11" s="71" t="n">
        <v>82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customFormat="false" ht="15" hidden="false" customHeight="false" outlineLevel="0" collapsed="false">
      <c r="A12" s="66" t="s">
        <v>102</v>
      </c>
      <c r="B12" s="67" t="n">
        <v>32</v>
      </c>
      <c r="E12" s="70" t="s">
        <v>95</v>
      </c>
      <c r="F12" s="71" t="n">
        <v>158</v>
      </c>
      <c r="G12" s="71" t="n">
        <v>158</v>
      </c>
      <c r="H12" s="71" t="n">
        <v>0</v>
      </c>
      <c r="I12" s="71" t="s">
        <v>85</v>
      </c>
      <c r="J12" s="71" t="s">
        <v>98</v>
      </c>
      <c r="K12" s="71" t="n">
        <v>24</v>
      </c>
      <c r="L12" s="71" t="n">
        <v>64</v>
      </c>
      <c r="M12" s="71" t="n">
        <v>86</v>
      </c>
      <c r="N12" s="71" t="n">
        <v>113</v>
      </c>
      <c r="O12" s="71" t="n">
        <v>401</v>
      </c>
      <c r="P12" s="71" t="n">
        <v>498</v>
      </c>
      <c r="Q12" s="71" t="n">
        <v>77</v>
      </c>
      <c r="R12" s="71" t="n">
        <v>77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customFormat="false" ht="15" hidden="false" customHeight="false" outlineLevel="0" collapsed="false">
      <c r="A13" s="66" t="s">
        <v>103</v>
      </c>
      <c r="B13" s="67" t="n">
        <v>32</v>
      </c>
      <c r="E13" s="72" t="s">
        <v>104</v>
      </c>
      <c r="F13" s="73" t="n">
        <v>37</v>
      </c>
      <c r="G13" s="73" t="n">
        <v>37</v>
      </c>
      <c r="H13" s="73" t="n">
        <v>0</v>
      </c>
      <c r="I13" s="73" t="s">
        <v>85</v>
      </c>
      <c r="J13" s="73" t="s">
        <v>105</v>
      </c>
      <c r="K13" s="73" t="n">
        <v>27</v>
      </c>
      <c r="L13" s="73" t="n">
        <v>28</v>
      </c>
      <c r="M13" s="73" t="n">
        <v>28</v>
      </c>
      <c r="N13" s="73" t="n">
        <v>29</v>
      </c>
      <c r="O13" s="73" t="n">
        <v>452</v>
      </c>
      <c r="P13" s="73" t="n">
        <v>452</v>
      </c>
      <c r="Q13" s="73" t="n">
        <v>40</v>
      </c>
      <c r="R13" s="73" t="n">
        <v>69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customFormat="false" ht="15" hidden="false" customHeight="false" outlineLevel="0" collapsed="false">
      <c r="A14" s="67"/>
      <c r="B14" s="67"/>
      <c r="E14" s="70" t="s">
        <v>100</v>
      </c>
      <c r="F14" s="71" t="n">
        <v>37</v>
      </c>
      <c r="G14" s="71" t="n">
        <v>37</v>
      </c>
      <c r="H14" s="71" t="n">
        <v>0</v>
      </c>
      <c r="I14" s="71" t="s">
        <v>85</v>
      </c>
      <c r="J14" s="71" t="s">
        <v>105</v>
      </c>
      <c r="K14" s="71" t="n">
        <v>27</v>
      </c>
      <c r="L14" s="71" t="n">
        <v>28</v>
      </c>
      <c r="M14" s="71" t="n">
        <v>28</v>
      </c>
      <c r="N14" s="71" t="n">
        <v>29</v>
      </c>
      <c r="O14" s="71" t="n">
        <v>452</v>
      </c>
      <c r="P14" s="71" t="n">
        <v>452</v>
      </c>
      <c r="Q14" s="71" t="n">
        <v>40</v>
      </c>
      <c r="R14" s="71" t="n">
        <v>69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customFormat="false" ht="15" hidden="false" customHeight="false" outlineLevel="0" collapsed="false">
      <c r="A15" s="67"/>
      <c r="B15" s="67"/>
      <c r="E15" s="72" t="s">
        <v>106</v>
      </c>
      <c r="F15" s="73" t="n">
        <v>37</v>
      </c>
      <c r="G15" s="73" t="n">
        <v>37</v>
      </c>
      <c r="H15" s="73" t="n">
        <v>0</v>
      </c>
      <c r="I15" s="73" t="s">
        <v>85</v>
      </c>
      <c r="J15" s="73" t="s">
        <v>105</v>
      </c>
      <c r="K15" s="73" t="n">
        <v>28</v>
      </c>
      <c r="L15" s="73" t="n">
        <v>29</v>
      </c>
      <c r="M15" s="73" t="n">
        <v>30</v>
      </c>
      <c r="N15" s="73" t="n">
        <v>30</v>
      </c>
      <c r="O15" s="73" t="n">
        <v>101</v>
      </c>
      <c r="P15" s="73" t="n">
        <v>101</v>
      </c>
      <c r="Q15" s="73" t="n">
        <v>34</v>
      </c>
      <c r="R15" s="73" t="n">
        <v>16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customFormat="false" ht="15" hidden="false" customHeight="false" outlineLevel="0" collapsed="false">
      <c r="A16" s="67"/>
      <c r="B16" s="67"/>
      <c r="E16" s="70" t="s">
        <v>100</v>
      </c>
      <c r="F16" s="71" t="n">
        <v>37</v>
      </c>
      <c r="G16" s="71" t="n">
        <v>37</v>
      </c>
      <c r="H16" s="71" t="n">
        <v>0</v>
      </c>
      <c r="I16" s="71" t="s">
        <v>85</v>
      </c>
      <c r="J16" s="71" t="s">
        <v>105</v>
      </c>
      <c r="K16" s="71" t="n">
        <v>28</v>
      </c>
      <c r="L16" s="71" t="n">
        <v>29</v>
      </c>
      <c r="M16" s="71" t="n">
        <v>30</v>
      </c>
      <c r="N16" s="71" t="n">
        <v>30</v>
      </c>
      <c r="O16" s="71" t="n">
        <v>101</v>
      </c>
      <c r="P16" s="71" t="n">
        <v>101</v>
      </c>
      <c r="Q16" s="71" t="n">
        <v>34</v>
      </c>
      <c r="R16" s="71" t="n">
        <v>16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customFormat="false" ht="15" hidden="false" customHeight="false" outlineLevel="0" collapsed="false">
      <c r="A17" s="66"/>
      <c r="B17" s="67"/>
      <c r="E17" s="72" t="s">
        <v>107</v>
      </c>
      <c r="F17" s="73" t="n">
        <v>113</v>
      </c>
      <c r="G17" s="73" t="n">
        <v>113</v>
      </c>
      <c r="H17" s="73" t="n">
        <v>0</v>
      </c>
      <c r="I17" s="73" t="s">
        <v>85</v>
      </c>
      <c r="J17" s="73" t="s">
        <v>108</v>
      </c>
      <c r="K17" s="73" t="n">
        <v>74</v>
      </c>
      <c r="L17" s="73" t="n">
        <v>147</v>
      </c>
      <c r="M17" s="73" t="n">
        <v>215</v>
      </c>
      <c r="N17" s="73" t="n">
        <v>304</v>
      </c>
      <c r="O17" s="73" t="n">
        <v>464</v>
      </c>
      <c r="P17" s="73" t="n">
        <v>533</v>
      </c>
      <c r="Q17" s="73" t="n">
        <v>183</v>
      </c>
      <c r="R17" s="73" t="n">
        <v>88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customFormat="false" ht="15" hidden="false" customHeight="false" outlineLevel="0" collapsed="false">
      <c r="A18" s="66"/>
      <c r="B18" s="67"/>
      <c r="E18" s="70" t="s">
        <v>93</v>
      </c>
      <c r="F18" s="71" t="n">
        <v>113</v>
      </c>
      <c r="G18" s="71" t="n">
        <v>113</v>
      </c>
      <c r="H18" s="71" t="n">
        <v>0</v>
      </c>
      <c r="I18" s="71" t="s">
        <v>85</v>
      </c>
      <c r="J18" s="71" t="s">
        <v>108</v>
      </c>
      <c r="K18" s="71" t="n">
        <v>19</v>
      </c>
      <c r="L18" s="71" t="n">
        <v>20</v>
      </c>
      <c r="M18" s="71" t="n">
        <v>21</v>
      </c>
      <c r="N18" s="71" t="n">
        <v>79</v>
      </c>
      <c r="O18" s="71" t="n">
        <v>159</v>
      </c>
      <c r="P18" s="71" t="n">
        <v>167</v>
      </c>
      <c r="Q18" s="71" t="n">
        <v>32</v>
      </c>
      <c r="R18" s="71" t="n">
        <v>32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customFormat="false" ht="15" hidden="false" customHeight="false" outlineLevel="0" collapsed="false">
      <c r="A19" s="66"/>
      <c r="B19" s="67"/>
      <c r="E19" s="70" t="s">
        <v>95</v>
      </c>
      <c r="F19" s="71" t="n">
        <v>113</v>
      </c>
      <c r="G19" s="71" t="n">
        <v>113</v>
      </c>
      <c r="H19" s="71" t="n">
        <v>0</v>
      </c>
      <c r="I19" s="71" t="s">
        <v>85</v>
      </c>
      <c r="J19" s="71" t="s">
        <v>108</v>
      </c>
      <c r="K19" s="71" t="n">
        <v>24</v>
      </c>
      <c r="L19" s="71" t="n">
        <v>53</v>
      </c>
      <c r="M19" s="71" t="n">
        <v>79</v>
      </c>
      <c r="N19" s="71" t="n">
        <v>106</v>
      </c>
      <c r="O19" s="71" t="n">
        <v>200</v>
      </c>
      <c r="P19" s="71" t="n">
        <v>201</v>
      </c>
      <c r="Q19" s="71" t="n">
        <v>63</v>
      </c>
      <c r="R19" s="71" t="n">
        <v>43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customFormat="false" ht="15" hidden="false" customHeight="false" outlineLevel="0" collapsed="false">
      <c r="A20" s="66"/>
      <c r="B20" s="67"/>
      <c r="E20" s="70" t="s">
        <v>109</v>
      </c>
      <c r="F20" s="71" t="n">
        <v>113</v>
      </c>
      <c r="G20" s="71" t="n">
        <v>113</v>
      </c>
      <c r="H20" s="71" t="n">
        <v>0</v>
      </c>
      <c r="I20" s="71" t="s">
        <v>85</v>
      </c>
      <c r="J20" s="71" t="s">
        <v>108</v>
      </c>
      <c r="K20" s="71" t="n">
        <v>28</v>
      </c>
      <c r="L20" s="71" t="n">
        <v>94</v>
      </c>
      <c r="M20" s="71" t="n">
        <v>96</v>
      </c>
      <c r="N20" s="71" t="n">
        <v>111</v>
      </c>
      <c r="O20" s="71" t="n">
        <v>282</v>
      </c>
      <c r="P20" s="71" t="n">
        <v>295</v>
      </c>
      <c r="Q20" s="71" t="n">
        <v>88</v>
      </c>
      <c r="R20" s="71" t="n">
        <v>47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customFormat="false" ht="15" hidden="false" customHeight="false" outlineLevel="0" collapsed="false">
      <c r="A21" s="66"/>
      <c r="B21" s="67"/>
      <c r="E21" s="72" t="s">
        <v>110</v>
      </c>
      <c r="F21" s="73" t="n">
        <v>102</v>
      </c>
      <c r="G21" s="73" t="n">
        <v>102</v>
      </c>
      <c r="H21" s="73" t="n">
        <v>0</v>
      </c>
      <c r="I21" s="73" t="s">
        <v>85</v>
      </c>
      <c r="J21" s="73" t="s">
        <v>111</v>
      </c>
      <c r="K21" s="73" t="n">
        <v>75</v>
      </c>
      <c r="L21" s="73" t="n">
        <v>141</v>
      </c>
      <c r="M21" s="73" t="n">
        <v>200</v>
      </c>
      <c r="N21" s="73" t="n">
        <v>292</v>
      </c>
      <c r="O21" s="73" t="n">
        <v>503</v>
      </c>
      <c r="P21" s="73" t="n">
        <v>526</v>
      </c>
      <c r="Q21" s="73" t="n">
        <v>182</v>
      </c>
      <c r="R21" s="73" t="n">
        <v>88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customFormat="false" ht="15" hidden="false" customHeight="false" outlineLevel="0" collapsed="false">
      <c r="A22" s="66"/>
      <c r="E22" s="70" t="s">
        <v>93</v>
      </c>
      <c r="F22" s="71" t="n">
        <v>102</v>
      </c>
      <c r="G22" s="71" t="n">
        <v>102</v>
      </c>
      <c r="H22" s="71" t="n">
        <v>0</v>
      </c>
      <c r="I22" s="71" t="s">
        <v>85</v>
      </c>
      <c r="J22" s="71" t="s">
        <v>111</v>
      </c>
      <c r="K22" s="71" t="n">
        <v>20</v>
      </c>
      <c r="L22" s="71" t="n">
        <v>21</v>
      </c>
      <c r="M22" s="71" t="n">
        <v>22</v>
      </c>
      <c r="N22" s="71" t="n">
        <v>63</v>
      </c>
      <c r="O22" s="71" t="n">
        <v>128</v>
      </c>
      <c r="P22" s="71" t="n">
        <v>162</v>
      </c>
      <c r="Q22" s="71" t="n">
        <v>30</v>
      </c>
      <c r="R22" s="71" t="n">
        <v>25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customFormat="false" ht="15" hidden="false" customHeight="false" outlineLevel="0" collapsed="false">
      <c r="A23" s="66"/>
      <c r="E23" s="70" t="s">
        <v>112</v>
      </c>
      <c r="F23" s="71" t="n">
        <v>102</v>
      </c>
      <c r="G23" s="71" t="n">
        <v>102</v>
      </c>
      <c r="H23" s="71" t="n">
        <v>0</v>
      </c>
      <c r="I23" s="71" t="s">
        <v>85</v>
      </c>
      <c r="J23" s="71" t="s">
        <v>111</v>
      </c>
      <c r="K23" s="71" t="n">
        <v>27</v>
      </c>
      <c r="L23" s="71" t="n">
        <v>69</v>
      </c>
      <c r="M23" s="71" t="n">
        <v>90</v>
      </c>
      <c r="N23" s="71" t="n">
        <v>109</v>
      </c>
      <c r="O23" s="71" t="n">
        <v>202</v>
      </c>
      <c r="P23" s="71" t="n">
        <v>206</v>
      </c>
      <c r="Q23" s="71" t="n">
        <v>73</v>
      </c>
      <c r="R23" s="71" t="n">
        <v>43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customFormat="false" ht="15" hidden="false" customHeight="false" outlineLevel="0" collapsed="false">
      <c r="A24" s="66"/>
      <c r="E24" s="70" t="s">
        <v>95</v>
      </c>
      <c r="F24" s="71" t="n">
        <v>102</v>
      </c>
      <c r="G24" s="71" t="n">
        <v>102</v>
      </c>
      <c r="H24" s="71" t="n">
        <v>0</v>
      </c>
      <c r="I24" s="71" t="s">
        <v>85</v>
      </c>
      <c r="J24" s="71" t="s">
        <v>111</v>
      </c>
      <c r="K24" s="71" t="n">
        <v>24</v>
      </c>
      <c r="L24" s="71" t="n">
        <v>78</v>
      </c>
      <c r="M24" s="71" t="n">
        <v>90</v>
      </c>
      <c r="N24" s="71" t="n">
        <v>105</v>
      </c>
      <c r="O24" s="71" t="n">
        <v>194</v>
      </c>
      <c r="P24" s="71" t="n">
        <v>197</v>
      </c>
      <c r="Q24" s="71" t="n">
        <v>66</v>
      </c>
      <c r="R24" s="71" t="n">
        <v>45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customFormat="false" ht="15" hidden="false" customHeight="false" outlineLevel="0" collapsed="false">
      <c r="A25" s="66"/>
      <c r="E25" s="72" t="s">
        <v>113</v>
      </c>
      <c r="F25" s="73" t="n">
        <v>120</v>
      </c>
      <c r="G25" s="73" t="n">
        <v>120</v>
      </c>
      <c r="H25" s="73" t="n">
        <v>0</v>
      </c>
      <c r="I25" s="73" t="s">
        <v>85</v>
      </c>
      <c r="J25" s="73" t="s">
        <v>108</v>
      </c>
      <c r="K25" s="73" t="n">
        <v>46</v>
      </c>
      <c r="L25" s="73" t="n">
        <v>78</v>
      </c>
      <c r="M25" s="73" t="n">
        <v>102</v>
      </c>
      <c r="N25" s="73" t="n">
        <v>118</v>
      </c>
      <c r="O25" s="73" t="n">
        <v>291</v>
      </c>
      <c r="P25" s="73" t="n">
        <v>325</v>
      </c>
      <c r="Q25" s="73" t="n">
        <v>85</v>
      </c>
      <c r="R25" s="73" t="n">
        <v>47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customFormat="false" ht="15" hidden="false" customHeight="false" outlineLevel="0" collapsed="false">
      <c r="A26" s="66"/>
      <c r="E26" s="70" t="s">
        <v>93</v>
      </c>
      <c r="F26" s="71" t="n">
        <v>120</v>
      </c>
      <c r="G26" s="71" t="n">
        <v>120</v>
      </c>
      <c r="H26" s="71" t="n">
        <v>0</v>
      </c>
      <c r="I26" s="71" t="s">
        <v>85</v>
      </c>
      <c r="J26" s="71" t="s">
        <v>108</v>
      </c>
      <c r="K26" s="71" t="n">
        <v>21</v>
      </c>
      <c r="L26" s="71" t="n">
        <v>22</v>
      </c>
      <c r="M26" s="71" t="n">
        <v>23</v>
      </c>
      <c r="N26" s="71" t="n">
        <v>35</v>
      </c>
      <c r="O26" s="71" t="n">
        <v>149</v>
      </c>
      <c r="P26" s="71" t="n">
        <v>181</v>
      </c>
      <c r="Q26" s="71" t="n">
        <v>29</v>
      </c>
      <c r="R26" s="71" t="n">
        <v>26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customFormat="false" ht="15" hidden="false" customHeight="false" outlineLevel="0" collapsed="false">
      <c r="A27" s="66"/>
      <c r="E27" s="70" t="s">
        <v>95</v>
      </c>
      <c r="F27" s="71" t="n">
        <v>120</v>
      </c>
      <c r="G27" s="71" t="n">
        <v>120</v>
      </c>
      <c r="H27" s="71" t="n">
        <v>0</v>
      </c>
      <c r="I27" s="71" t="s">
        <v>85</v>
      </c>
      <c r="J27" s="71" t="s">
        <v>108</v>
      </c>
      <c r="K27" s="71" t="n">
        <v>24</v>
      </c>
      <c r="L27" s="71" t="n">
        <v>53</v>
      </c>
      <c r="M27" s="71" t="n">
        <v>78</v>
      </c>
      <c r="N27" s="71" t="n">
        <v>89</v>
      </c>
      <c r="O27" s="71" t="n">
        <v>158</v>
      </c>
      <c r="P27" s="71" t="n">
        <v>197</v>
      </c>
      <c r="Q27" s="71" t="n">
        <v>55</v>
      </c>
      <c r="R27" s="71" t="n">
        <v>31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customFormat="false" ht="15" hidden="false" customHeight="false" outlineLevel="0" collapsed="false">
      <c r="A28" s="66"/>
      <c r="E28" s="72" t="s">
        <v>114</v>
      </c>
      <c r="F28" s="73" t="n">
        <v>37</v>
      </c>
      <c r="G28" s="73" t="n">
        <v>37</v>
      </c>
      <c r="H28" s="73" t="n">
        <v>0</v>
      </c>
      <c r="I28" s="73" t="s">
        <v>85</v>
      </c>
      <c r="J28" s="73" t="s">
        <v>105</v>
      </c>
      <c r="K28" s="73" t="n">
        <v>74</v>
      </c>
      <c r="L28" s="73" t="n">
        <v>134</v>
      </c>
      <c r="M28" s="73" t="n">
        <v>156</v>
      </c>
      <c r="N28" s="73" t="n">
        <v>276</v>
      </c>
      <c r="O28" s="73" t="n">
        <v>353</v>
      </c>
      <c r="P28" s="73" t="n">
        <v>353</v>
      </c>
      <c r="Q28" s="73" t="n">
        <v>146</v>
      </c>
      <c r="R28" s="73" t="n">
        <v>69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customFormat="false" ht="15" hidden="false" customHeight="false" outlineLevel="0" collapsed="false">
      <c r="E29" s="70" t="s">
        <v>93</v>
      </c>
      <c r="F29" s="71" t="n">
        <v>37</v>
      </c>
      <c r="G29" s="71" t="n">
        <v>37</v>
      </c>
      <c r="H29" s="71" t="n">
        <v>0</v>
      </c>
      <c r="I29" s="71" t="s">
        <v>85</v>
      </c>
      <c r="J29" s="71" t="s">
        <v>105</v>
      </c>
      <c r="K29" s="71" t="n">
        <v>20</v>
      </c>
      <c r="L29" s="71" t="n">
        <v>21</v>
      </c>
      <c r="M29" s="71" t="n">
        <v>22</v>
      </c>
      <c r="N29" s="71" t="n">
        <v>54</v>
      </c>
      <c r="O29" s="71" t="n">
        <v>149</v>
      </c>
      <c r="P29" s="71" t="n">
        <v>149</v>
      </c>
      <c r="Q29" s="71" t="n">
        <v>29</v>
      </c>
      <c r="R29" s="71" t="n">
        <v>25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customFormat="false" ht="15" hidden="false" customHeight="false" outlineLevel="0" collapsed="false">
      <c r="E30" s="70" t="s">
        <v>95</v>
      </c>
      <c r="F30" s="71" t="n">
        <v>37</v>
      </c>
      <c r="G30" s="71" t="n">
        <v>37</v>
      </c>
      <c r="H30" s="71" t="n">
        <v>0</v>
      </c>
      <c r="I30" s="71" t="s">
        <v>85</v>
      </c>
      <c r="J30" s="71" t="s">
        <v>105</v>
      </c>
      <c r="K30" s="71" t="n">
        <v>24</v>
      </c>
      <c r="L30" s="71" t="n">
        <v>38</v>
      </c>
      <c r="M30" s="71" t="n">
        <v>81</v>
      </c>
      <c r="N30" s="71" t="n">
        <v>106</v>
      </c>
      <c r="O30" s="71" t="n">
        <v>185</v>
      </c>
      <c r="P30" s="71" t="n">
        <v>185</v>
      </c>
      <c r="Q30" s="71" t="n">
        <v>55</v>
      </c>
      <c r="R30" s="71" t="n">
        <v>36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customFormat="false" ht="15" hidden="false" customHeight="false" outlineLevel="0" collapsed="false">
      <c r="E31" s="70" t="s">
        <v>100</v>
      </c>
      <c r="F31" s="71" t="n">
        <v>37</v>
      </c>
      <c r="G31" s="71" t="n">
        <v>37</v>
      </c>
      <c r="H31" s="71" t="n">
        <v>0</v>
      </c>
      <c r="I31" s="71" t="s">
        <v>85</v>
      </c>
      <c r="J31" s="71" t="s">
        <v>105</v>
      </c>
      <c r="K31" s="71" t="n">
        <v>26</v>
      </c>
      <c r="L31" s="71" t="n">
        <v>27</v>
      </c>
      <c r="M31" s="71" t="n">
        <v>89</v>
      </c>
      <c r="N31" s="71" t="n">
        <v>93</v>
      </c>
      <c r="O31" s="71" t="n">
        <v>175</v>
      </c>
      <c r="P31" s="71" t="n">
        <v>175</v>
      </c>
      <c r="Q31" s="71" t="n">
        <v>54</v>
      </c>
      <c r="R31" s="71" t="n">
        <v>37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customFormat="false" ht="15" hidden="false" customHeight="false" outlineLevel="0" collapsed="false">
      <c r="E32" s="72" t="s">
        <v>115</v>
      </c>
      <c r="F32" s="73" t="n">
        <v>102</v>
      </c>
      <c r="G32" s="73" t="n">
        <v>102</v>
      </c>
      <c r="H32" s="73" t="n">
        <v>0</v>
      </c>
      <c r="I32" s="73" t="s">
        <v>85</v>
      </c>
      <c r="J32" s="73" t="s">
        <v>111</v>
      </c>
      <c r="K32" s="73" t="n">
        <v>30</v>
      </c>
      <c r="L32" s="73" t="n">
        <v>31</v>
      </c>
      <c r="M32" s="73" t="n">
        <v>31</v>
      </c>
      <c r="N32" s="73" t="n">
        <v>35</v>
      </c>
      <c r="O32" s="73" t="n">
        <v>119</v>
      </c>
      <c r="P32" s="73" t="n">
        <v>135</v>
      </c>
      <c r="Q32" s="73" t="n">
        <v>35</v>
      </c>
      <c r="R32" s="73" t="n">
        <v>16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customFormat="false" ht="15" hidden="false" customHeight="false" outlineLevel="0" collapsed="false">
      <c r="E33" s="70" t="s">
        <v>109</v>
      </c>
      <c r="F33" s="71" t="n">
        <v>102</v>
      </c>
      <c r="G33" s="71" t="n">
        <v>102</v>
      </c>
      <c r="H33" s="71" t="n">
        <v>0</v>
      </c>
      <c r="I33" s="71" t="s">
        <v>85</v>
      </c>
      <c r="J33" s="71" t="s">
        <v>111</v>
      </c>
      <c r="K33" s="71" t="n">
        <v>30</v>
      </c>
      <c r="L33" s="71" t="n">
        <v>31</v>
      </c>
      <c r="M33" s="71" t="n">
        <v>31</v>
      </c>
      <c r="N33" s="71" t="n">
        <v>35</v>
      </c>
      <c r="O33" s="71" t="n">
        <v>119</v>
      </c>
      <c r="P33" s="71" t="n">
        <v>135</v>
      </c>
      <c r="Q33" s="71" t="n">
        <v>35</v>
      </c>
      <c r="R33" s="71" t="n">
        <v>16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customFormat="false" ht="15" hidden="false" customHeight="false" outlineLevel="0" collapsed="false">
      <c r="E34" s="72" t="s">
        <v>116</v>
      </c>
      <c r="F34" s="73" t="n">
        <v>27</v>
      </c>
      <c r="G34" s="73" t="n">
        <v>27</v>
      </c>
      <c r="H34" s="73" t="n">
        <v>0</v>
      </c>
      <c r="I34" s="73" t="s">
        <v>85</v>
      </c>
      <c r="J34" s="73" t="s">
        <v>117</v>
      </c>
      <c r="K34" s="73" t="n">
        <v>29</v>
      </c>
      <c r="L34" s="73" t="n">
        <v>29</v>
      </c>
      <c r="M34" s="73" t="n">
        <v>30</v>
      </c>
      <c r="N34" s="73" t="n">
        <v>31</v>
      </c>
      <c r="O34" s="73" t="n">
        <v>144</v>
      </c>
      <c r="P34" s="73" t="n">
        <v>144</v>
      </c>
      <c r="Q34" s="73" t="n">
        <v>34</v>
      </c>
      <c r="R34" s="73" t="n">
        <v>22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customFormat="false" ht="15" hidden="false" customHeight="false" outlineLevel="0" collapsed="false">
      <c r="E35" s="70" t="s">
        <v>112</v>
      </c>
      <c r="F35" s="71" t="n">
        <v>27</v>
      </c>
      <c r="G35" s="71" t="n">
        <v>27</v>
      </c>
      <c r="H35" s="71" t="n">
        <v>0</v>
      </c>
      <c r="I35" s="71" t="s">
        <v>85</v>
      </c>
      <c r="J35" s="71" t="s">
        <v>117</v>
      </c>
      <c r="K35" s="71" t="n">
        <v>29</v>
      </c>
      <c r="L35" s="71" t="n">
        <v>29</v>
      </c>
      <c r="M35" s="71" t="n">
        <v>30</v>
      </c>
      <c r="N35" s="71" t="n">
        <v>31</v>
      </c>
      <c r="O35" s="71" t="n">
        <v>144</v>
      </c>
      <c r="P35" s="71" t="n">
        <v>144</v>
      </c>
      <c r="Q35" s="71" t="n">
        <v>34</v>
      </c>
      <c r="R35" s="71" t="n">
        <v>22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customFormat="false" ht="15" hidden="false" customHeight="false" outlineLevel="0" collapsed="false">
      <c r="E36" s="72" t="s">
        <v>118</v>
      </c>
      <c r="F36" s="73" t="n">
        <v>102</v>
      </c>
      <c r="G36" s="73" t="n">
        <v>102</v>
      </c>
      <c r="H36" s="73" t="n">
        <v>0</v>
      </c>
      <c r="I36" s="73" t="s">
        <v>85</v>
      </c>
      <c r="J36" s="73" t="s">
        <v>111</v>
      </c>
      <c r="K36" s="73" t="n">
        <v>30</v>
      </c>
      <c r="L36" s="73" t="n">
        <v>32</v>
      </c>
      <c r="M36" s="73" t="n">
        <v>32</v>
      </c>
      <c r="N36" s="73" t="n">
        <v>60</v>
      </c>
      <c r="O36" s="73" t="n">
        <v>204</v>
      </c>
      <c r="P36" s="73" t="n">
        <v>269</v>
      </c>
      <c r="Q36" s="73" t="n">
        <v>42</v>
      </c>
      <c r="R36" s="73" t="n">
        <v>35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customFormat="false" ht="15" hidden="false" customHeight="false" outlineLevel="0" collapsed="false">
      <c r="E37" s="70" t="s">
        <v>109</v>
      </c>
      <c r="F37" s="71" t="n">
        <v>102</v>
      </c>
      <c r="G37" s="71" t="n">
        <v>102</v>
      </c>
      <c r="H37" s="71" t="n">
        <v>0</v>
      </c>
      <c r="I37" s="71" t="s">
        <v>85</v>
      </c>
      <c r="J37" s="71" t="s">
        <v>111</v>
      </c>
      <c r="K37" s="71" t="n">
        <v>30</v>
      </c>
      <c r="L37" s="71" t="n">
        <v>32</v>
      </c>
      <c r="M37" s="71" t="n">
        <v>32</v>
      </c>
      <c r="N37" s="71" t="n">
        <v>60</v>
      </c>
      <c r="O37" s="71" t="n">
        <v>204</v>
      </c>
      <c r="P37" s="71" t="n">
        <v>269</v>
      </c>
      <c r="Q37" s="71" t="n">
        <v>42</v>
      </c>
      <c r="R37" s="71" t="n">
        <v>35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customFormat="false" ht="15" hidden="false" customHeight="false" outlineLevel="0" collapsed="false">
      <c r="E38" s="72" t="s">
        <v>119</v>
      </c>
      <c r="F38" s="73" t="n">
        <v>64</v>
      </c>
      <c r="G38" s="73" t="n">
        <v>64</v>
      </c>
      <c r="H38" s="73" t="n">
        <v>0</v>
      </c>
      <c r="I38" s="73" t="s">
        <v>85</v>
      </c>
      <c r="J38" s="73" t="s">
        <v>120</v>
      </c>
      <c r="K38" s="73" t="n">
        <v>31</v>
      </c>
      <c r="L38" s="73" t="n">
        <v>33</v>
      </c>
      <c r="M38" s="73" t="n">
        <v>33</v>
      </c>
      <c r="N38" s="73" t="n">
        <v>57</v>
      </c>
      <c r="O38" s="73" t="n">
        <v>178</v>
      </c>
      <c r="P38" s="73" t="n">
        <v>178</v>
      </c>
      <c r="Q38" s="73" t="n">
        <v>39</v>
      </c>
      <c r="R38" s="73" t="n">
        <v>21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customFormat="false" ht="15" hidden="false" customHeight="false" outlineLevel="0" collapsed="false">
      <c r="E39" s="70" t="s">
        <v>109</v>
      </c>
      <c r="F39" s="71" t="n">
        <v>64</v>
      </c>
      <c r="G39" s="71" t="n">
        <v>64</v>
      </c>
      <c r="H39" s="71" t="n">
        <v>0</v>
      </c>
      <c r="I39" s="71" t="s">
        <v>85</v>
      </c>
      <c r="J39" s="71" t="s">
        <v>120</v>
      </c>
      <c r="K39" s="71" t="n">
        <v>30</v>
      </c>
      <c r="L39" s="71" t="n">
        <v>31</v>
      </c>
      <c r="M39" s="71" t="n">
        <v>32</v>
      </c>
      <c r="N39" s="71" t="n">
        <v>55</v>
      </c>
      <c r="O39" s="71" t="n">
        <v>176</v>
      </c>
      <c r="P39" s="71" t="n">
        <v>176</v>
      </c>
      <c r="Q39" s="71" t="n">
        <v>37</v>
      </c>
      <c r="R39" s="71" t="n">
        <v>21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customFormat="false" ht="15" hidden="false" customHeight="false" outlineLevel="0" collapsed="false">
      <c r="E40" s="74" t="s">
        <v>121</v>
      </c>
      <c r="F40" s="75" t="n">
        <f aca="false">F6+F10+F13+F15+F17+F21+F25+F28+F32+F34+F36+F38</f>
        <v>1094</v>
      </c>
      <c r="H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customFormat="false" ht="15" hidden="false" customHeight="false" outlineLevel="0" collapsed="false"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customFormat="false" ht="15" hidden="false" customHeight="false" outlineLevel="0" collapsed="false">
      <c r="E42" s="68" t="s">
        <v>122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customFormat="false" ht="15" hidden="false" customHeight="true" outlineLevel="0" collapsed="false">
      <c r="E43" s="69" t="s">
        <v>66</v>
      </c>
      <c r="F43" s="69" t="s">
        <v>67</v>
      </c>
      <c r="G43" s="69"/>
      <c r="H43" s="69"/>
      <c r="I43" s="69"/>
      <c r="J43" s="69"/>
      <c r="K43" s="69" t="s">
        <v>68</v>
      </c>
      <c r="L43" s="69"/>
      <c r="M43" s="69"/>
      <c r="N43" s="69"/>
      <c r="O43" s="69"/>
      <c r="P43" s="69"/>
      <c r="Q43" s="69"/>
      <c r="R43" s="69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customFormat="false" ht="15" hidden="false" customHeight="false" outlineLevel="0" collapsed="false">
      <c r="E44" s="69"/>
      <c r="F44" s="69" t="s">
        <v>70</v>
      </c>
      <c r="G44" s="69" t="s">
        <v>71</v>
      </c>
      <c r="H44" s="69" t="s">
        <v>72</v>
      </c>
      <c r="I44" s="69" t="s">
        <v>73</v>
      </c>
      <c r="J44" s="69" t="s">
        <v>74</v>
      </c>
      <c r="K44" s="69" t="s">
        <v>75</v>
      </c>
      <c r="L44" s="69" t="s">
        <v>76</v>
      </c>
      <c r="M44" s="69" t="s">
        <v>77</v>
      </c>
      <c r="N44" s="69" t="s">
        <v>78</v>
      </c>
      <c r="O44" s="69" t="s">
        <v>79</v>
      </c>
      <c r="P44" s="69" t="s">
        <v>80</v>
      </c>
      <c r="Q44" s="69" t="s">
        <v>81</v>
      </c>
      <c r="R44" s="69" t="s">
        <v>82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customFormat="false" ht="15" hidden="false" customHeight="false" outlineLevel="0" collapsed="false">
      <c r="E45" s="70" t="s">
        <v>84</v>
      </c>
      <c r="F45" s="71" t="n">
        <v>88305</v>
      </c>
      <c r="G45" s="71" t="n">
        <v>55152</v>
      </c>
      <c r="H45" s="71" t="n">
        <v>33153</v>
      </c>
      <c r="I45" s="71" t="s">
        <v>123</v>
      </c>
      <c r="J45" s="71" t="s">
        <v>124</v>
      </c>
      <c r="K45" s="71" t="n">
        <v>0</v>
      </c>
      <c r="L45" s="71" t="n">
        <v>190</v>
      </c>
      <c r="M45" s="71" t="n">
        <v>10001</v>
      </c>
      <c r="N45" s="71" t="n">
        <v>10001</v>
      </c>
      <c r="O45" s="71" t="n">
        <v>45329</v>
      </c>
      <c r="P45" s="71" t="n">
        <v>60002</v>
      </c>
      <c r="Q45" s="71" t="n">
        <v>4667</v>
      </c>
      <c r="R45" s="71" t="n">
        <v>8629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customFormat="false" ht="15" hidden="false" customHeight="false" outlineLevel="0" collapsed="false">
      <c r="E46" s="72" t="s">
        <v>88</v>
      </c>
      <c r="F46" s="73" t="n">
        <v>7298</v>
      </c>
      <c r="G46" s="73" t="n">
        <v>4432</v>
      </c>
      <c r="H46" s="73" t="n">
        <v>2866</v>
      </c>
      <c r="I46" s="73" t="s">
        <v>125</v>
      </c>
      <c r="J46" s="73" t="s">
        <v>126</v>
      </c>
      <c r="K46" s="73" t="n">
        <v>48</v>
      </c>
      <c r="L46" s="73" t="n">
        <v>451</v>
      </c>
      <c r="M46" s="73" t="n">
        <v>30003</v>
      </c>
      <c r="N46" s="73" t="n">
        <v>30004</v>
      </c>
      <c r="O46" s="73" t="n">
        <v>129528</v>
      </c>
      <c r="P46" s="73" t="n">
        <v>211895</v>
      </c>
      <c r="Q46" s="73" t="n">
        <v>15181</v>
      </c>
      <c r="R46" s="73" t="n">
        <v>26352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customFormat="false" ht="15" hidden="false" customHeight="false" outlineLevel="0" collapsed="false">
      <c r="E47" s="70" t="s">
        <v>91</v>
      </c>
      <c r="F47" s="71" t="n">
        <v>7319</v>
      </c>
      <c r="G47" s="71" t="n">
        <v>4462</v>
      </c>
      <c r="H47" s="71" t="n">
        <v>2857</v>
      </c>
      <c r="I47" s="71" t="s">
        <v>127</v>
      </c>
      <c r="J47" s="71" t="s">
        <v>126</v>
      </c>
      <c r="K47" s="71" t="n">
        <v>0</v>
      </c>
      <c r="L47" s="71" t="n">
        <v>19</v>
      </c>
      <c r="M47" s="71" t="n">
        <v>10001</v>
      </c>
      <c r="N47" s="71" t="n">
        <v>10001</v>
      </c>
      <c r="O47" s="71" t="n">
        <v>50698</v>
      </c>
      <c r="P47" s="71" t="n">
        <v>60002</v>
      </c>
      <c r="Q47" s="71" t="n">
        <v>4953</v>
      </c>
      <c r="R47" s="71" t="n">
        <v>9254</v>
      </c>
    </row>
    <row r="48" customFormat="false" ht="15" hidden="false" customHeight="false" outlineLevel="0" collapsed="false">
      <c r="E48" s="70" t="s">
        <v>93</v>
      </c>
      <c r="F48" s="71" t="n">
        <v>7312</v>
      </c>
      <c r="G48" s="71" t="n">
        <v>4435</v>
      </c>
      <c r="H48" s="71" t="n">
        <v>2877</v>
      </c>
      <c r="I48" s="71" t="s">
        <v>128</v>
      </c>
      <c r="J48" s="71" t="s">
        <v>126</v>
      </c>
      <c r="K48" s="71" t="n">
        <v>21</v>
      </c>
      <c r="L48" s="71" t="n">
        <v>195</v>
      </c>
      <c r="M48" s="71" t="n">
        <v>10001</v>
      </c>
      <c r="N48" s="71" t="n">
        <v>10001</v>
      </c>
      <c r="O48" s="71" t="n">
        <v>48189</v>
      </c>
      <c r="P48" s="71" t="n">
        <v>60002</v>
      </c>
      <c r="Q48" s="71" t="n">
        <v>5108</v>
      </c>
      <c r="R48" s="71" t="n">
        <v>9534</v>
      </c>
    </row>
    <row r="49" customFormat="false" ht="15" hidden="false" customHeight="false" outlineLevel="0" collapsed="false">
      <c r="E49" s="70" t="s">
        <v>95</v>
      </c>
      <c r="F49" s="71" t="n">
        <v>7301</v>
      </c>
      <c r="G49" s="71" t="n">
        <v>4432</v>
      </c>
      <c r="H49" s="71" t="n">
        <v>2869</v>
      </c>
      <c r="I49" s="71" t="s">
        <v>129</v>
      </c>
      <c r="J49" s="71" t="s">
        <v>126</v>
      </c>
      <c r="K49" s="71" t="n">
        <v>24</v>
      </c>
      <c r="L49" s="71" t="n">
        <v>240</v>
      </c>
      <c r="M49" s="71" t="n">
        <v>10001</v>
      </c>
      <c r="N49" s="71" t="n">
        <v>10001</v>
      </c>
      <c r="O49" s="71" t="n">
        <v>46376</v>
      </c>
      <c r="P49" s="71" t="n">
        <v>60002</v>
      </c>
      <c r="Q49" s="71" t="n">
        <v>5045</v>
      </c>
      <c r="R49" s="71" t="n">
        <v>9227</v>
      </c>
    </row>
    <row r="50" customFormat="false" ht="15" hidden="false" customHeight="true" outlineLevel="0" collapsed="false">
      <c r="E50" s="72" t="s">
        <v>97</v>
      </c>
      <c r="F50" s="73" t="n">
        <v>6029</v>
      </c>
      <c r="G50" s="73" t="n">
        <v>3588</v>
      </c>
      <c r="H50" s="73" t="n">
        <v>2441</v>
      </c>
      <c r="I50" s="73" t="s">
        <v>130</v>
      </c>
      <c r="J50" s="73" t="s">
        <v>131</v>
      </c>
      <c r="K50" s="73" t="n">
        <v>77</v>
      </c>
      <c r="L50" s="73" t="n">
        <v>649</v>
      </c>
      <c r="M50" s="73" t="n">
        <v>30002</v>
      </c>
      <c r="N50" s="73" t="n">
        <v>30004</v>
      </c>
      <c r="O50" s="73" t="n">
        <v>110416</v>
      </c>
      <c r="P50" s="73" t="n">
        <v>180003</v>
      </c>
      <c r="Q50" s="73" t="n">
        <v>14110</v>
      </c>
      <c r="R50" s="73" t="n">
        <v>24431</v>
      </c>
    </row>
    <row r="51" customFormat="false" ht="15" hidden="false" customHeight="true" outlineLevel="0" collapsed="false">
      <c r="E51" s="70" t="s">
        <v>100</v>
      </c>
      <c r="F51" s="71" t="n">
        <v>11500</v>
      </c>
      <c r="G51" s="71" t="n">
        <v>7180</v>
      </c>
      <c r="H51" s="71" t="n">
        <v>4320</v>
      </c>
      <c r="I51" s="71" t="s">
        <v>132</v>
      </c>
      <c r="J51" s="71" t="s">
        <v>133</v>
      </c>
      <c r="K51" s="71" t="n">
        <v>25</v>
      </c>
      <c r="L51" s="71" t="n">
        <v>200</v>
      </c>
      <c r="M51" s="71" t="n">
        <v>10001</v>
      </c>
      <c r="N51" s="71" t="n">
        <v>10001</v>
      </c>
      <c r="O51" s="71" t="n">
        <v>44371</v>
      </c>
      <c r="P51" s="71" t="n">
        <v>60002</v>
      </c>
      <c r="Q51" s="71" t="n">
        <v>4781</v>
      </c>
      <c r="R51" s="71" t="n">
        <v>8988</v>
      </c>
    </row>
    <row r="52" customFormat="false" ht="15" hidden="false" customHeight="true" outlineLevel="0" collapsed="false">
      <c r="E52" s="70" t="s">
        <v>95</v>
      </c>
      <c r="F52" s="71" t="n">
        <v>6035</v>
      </c>
      <c r="G52" s="71" t="n">
        <v>3591</v>
      </c>
      <c r="H52" s="71" t="n">
        <v>2444</v>
      </c>
      <c r="I52" s="71" t="s">
        <v>134</v>
      </c>
      <c r="J52" s="71" t="s">
        <v>131</v>
      </c>
      <c r="K52" s="71" t="n">
        <v>24</v>
      </c>
      <c r="L52" s="71" t="n">
        <v>205</v>
      </c>
      <c r="M52" s="71" t="n">
        <v>10001</v>
      </c>
      <c r="N52" s="71" t="n">
        <v>10001</v>
      </c>
      <c r="O52" s="71" t="n">
        <v>53062</v>
      </c>
      <c r="P52" s="71" t="n">
        <v>60002</v>
      </c>
      <c r="Q52" s="71" t="n">
        <v>5005</v>
      </c>
      <c r="R52" s="71" t="n">
        <v>8774</v>
      </c>
    </row>
    <row r="53" customFormat="false" ht="15" hidden="false" customHeight="true" outlineLevel="0" collapsed="false">
      <c r="E53" s="72" t="s">
        <v>107</v>
      </c>
      <c r="F53" s="73" t="n">
        <v>4274</v>
      </c>
      <c r="G53" s="73" t="n">
        <v>2573</v>
      </c>
      <c r="H53" s="73" t="n">
        <v>1701</v>
      </c>
      <c r="I53" s="73" t="s">
        <v>135</v>
      </c>
      <c r="J53" s="73" t="s">
        <v>136</v>
      </c>
      <c r="K53" s="73" t="n">
        <v>73</v>
      </c>
      <c r="L53" s="73" t="n">
        <v>520</v>
      </c>
      <c r="M53" s="73" t="n">
        <v>30003</v>
      </c>
      <c r="N53" s="73" t="n">
        <v>30004</v>
      </c>
      <c r="O53" s="73" t="n">
        <v>126797</v>
      </c>
      <c r="P53" s="73" t="n">
        <v>180003</v>
      </c>
      <c r="Q53" s="73" t="n">
        <v>14545</v>
      </c>
      <c r="R53" s="73" t="n">
        <v>23539</v>
      </c>
    </row>
    <row r="54" customFormat="false" ht="15" hidden="false" customHeight="true" outlineLevel="0" collapsed="false">
      <c r="E54" s="70" t="s">
        <v>93</v>
      </c>
      <c r="F54" s="71" t="n">
        <v>4288</v>
      </c>
      <c r="G54" s="71" t="n">
        <v>2575</v>
      </c>
      <c r="H54" s="71" t="n">
        <v>1713</v>
      </c>
      <c r="I54" s="71" t="s">
        <v>137</v>
      </c>
      <c r="J54" s="71" t="s">
        <v>136</v>
      </c>
      <c r="K54" s="71" t="n">
        <v>19</v>
      </c>
      <c r="L54" s="71" t="n">
        <v>145</v>
      </c>
      <c r="M54" s="71" t="n">
        <v>10001</v>
      </c>
      <c r="N54" s="71" t="n">
        <v>10001</v>
      </c>
      <c r="O54" s="71" t="n">
        <v>57953</v>
      </c>
      <c r="P54" s="71" t="n">
        <v>60002</v>
      </c>
      <c r="Q54" s="71" t="n">
        <v>5006</v>
      </c>
      <c r="R54" s="71" t="n">
        <v>9091</v>
      </c>
    </row>
    <row r="55" customFormat="false" ht="15" hidden="false" customHeight="true" outlineLevel="0" collapsed="false">
      <c r="E55" s="70" t="s">
        <v>95</v>
      </c>
      <c r="F55" s="71" t="n">
        <v>4280</v>
      </c>
      <c r="G55" s="71" t="n">
        <v>2575</v>
      </c>
      <c r="H55" s="71" t="n">
        <v>1705</v>
      </c>
      <c r="I55" s="71" t="s">
        <v>138</v>
      </c>
      <c r="J55" s="71" t="s">
        <v>136</v>
      </c>
      <c r="K55" s="71" t="n">
        <v>24</v>
      </c>
      <c r="L55" s="71" t="n">
        <v>195</v>
      </c>
      <c r="M55" s="71" t="n">
        <v>10001</v>
      </c>
      <c r="N55" s="71" t="n">
        <v>10001</v>
      </c>
      <c r="O55" s="71" t="n">
        <v>48546</v>
      </c>
      <c r="P55" s="71" t="n">
        <v>60002</v>
      </c>
      <c r="Q55" s="71" t="n">
        <v>4849</v>
      </c>
      <c r="R55" s="71" t="n">
        <v>8486</v>
      </c>
    </row>
    <row r="56" customFormat="false" ht="15" hidden="false" customHeight="true" outlineLevel="0" collapsed="false">
      <c r="E56" s="70" t="s">
        <v>109</v>
      </c>
      <c r="F56" s="71" t="n">
        <v>4276</v>
      </c>
      <c r="G56" s="71" t="n">
        <v>2573</v>
      </c>
      <c r="H56" s="71" t="n">
        <v>1703</v>
      </c>
      <c r="I56" s="71" t="s">
        <v>139</v>
      </c>
      <c r="J56" s="71" t="s">
        <v>136</v>
      </c>
      <c r="K56" s="71" t="n">
        <v>28</v>
      </c>
      <c r="L56" s="71" t="n">
        <v>215</v>
      </c>
      <c r="M56" s="71" t="n">
        <v>10001</v>
      </c>
      <c r="N56" s="71" t="n">
        <v>10001</v>
      </c>
      <c r="O56" s="71" t="n">
        <v>44806</v>
      </c>
      <c r="P56" s="71" t="n">
        <v>60002</v>
      </c>
      <c r="Q56" s="71" t="n">
        <v>4715</v>
      </c>
      <c r="R56" s="71" t="n">
        <v>7916</v>
      </c>
    </row>
    <row r="57" customFormat="false" ht="15" hidden="false" customHeight="true" outlineLevel="0" collapsed="false">
      <c r="E57" s="72" t="s">
        <v>115</v>
      </c>
      <c r="F57" s="73" t="n">
        <v>3773</v>
      </c>
      <c r="G57" s="73" t="n">
        <v>2320</v>
      </c>
      <c r="H57" s="73" t="n">
        <v>1453</v>
      </c>
      <c r="I57" s="73" t="s">
        <v>140</v>
      </c>
      <c r="J57" s="73" t="s">
        <v>141</v>
      </c>
      <c r="K57" s="73" t="n">
        <v>0</v>
      </c>
      <c r="L57" s="73" t="n">
        <v>131</v>
      </c>
      <c r="M57" s="73" t="n">
        <v>10001</v>
      </c>
      <c r="N57" s="73" t="n">
        <v>10002</v>
      </c>
      <c r="O57" s="73" t="n">
        <v>50813</v>
      </c>
      <c r="P57" s="73" t="n">
        <v>60002</v>
      </c>
      <c r="Q57" s="73" t="n">
        <v>3678</v>
      </c>
      <c r="R57" s="73" t="n">
        <v>7940</v>
      </c>
    </row>
    <row r="58" customFormat="false" ht="15" hidden="false" customHeight="true" outlineLevel="0" collapsed="false">
      <c r="E58" s="70" t="s">
        <v>109</v>
      </c>
      <c r="F58" s="71" t="n">
        <v>3423</v>
      </c>
      <c r="G58" s="71" t="n">
        <v>2320</v>
      </c>
      <c r="H58" s="71" t="n">
        <v>1103</v>
      </c>
      <c r="I58" s="71" t="s">
        <v>142</v>
      </c>
      <c r="J58" s="71" t="s">
        <v>101</v>
      </c>
      <c r="K58" s="71" t="n">
        <v>30</v>
      </c>
      <c r="L58" s="71" t="n">
        <v>186</v>
      </c>
      <c r="M58" s="71" t="n">
        <v>10001</v>
      </c>
      <c r="N58" s="71" t="n">
        <v>10002</v>
      </c>
      <c r="O58" s="71" t="n">
        <v>51889</v>
      </c>
      <c r="P58" s="71" t="n">
        <v>60002</v>
      </c>
      <c r="Q58" s="71" t="n">
        <v>4054</v>
      </c>
      <c r="R58" s="71" t="n">
        <v>8244</v>
      </c>
    </row>
    <row r="59" customFormat="false" ht="15" hidden="false" customHeight="true" outlineLevel="0" collapsed="false">
      <c r="E59" s="72" t="s">
        <v>118</v>
      </c>
      <c r="F59" s="73" t="n">
        <v>3772</v>
      </c>
      <c r="G59" s="73" t="n">
        <v>2318</v>
      </c>
      <c r="H59" s="73" t="n">
        <v>1454</v>
      </c>
      <c r="I59" s="73" t="s">
        <v>143</v>
      </c>
      <c r="J59" s="73" t="s">
        <v>141</v>
      </c>
      <c r="K59" s="73" t="n">
        <v>0</v>
      </c>
      <c r="L59" s="73" t="n">
        <v>146</v>
      </c>
      <c r="M59" s="73" t="n">
        <v>10001</v>
      </c>
      <c r="N59" s="73" t="n">
        <v>10001</v>
      </c>
      <c r="O59" s="73" t="n">
        <v>49426</v>
      </c>
      <c r="P59" s="73" t="n">
        <v>60002</v>
      </c>
      <c r="Q59" s="73" t="n">
        <v>3569</v>
      </c>
      <c r="R59" s="73" t="n">
        <v>7452</v>
      </c>
    </row>
    <row r="60" customFormat="false" ht="15" hidden="false" customHeight="true" outlineLevel="0" collapsed="false">
      <c r="E60" s="70" t="s">
        <v>109</v>
      </c>
      <c r="F60" s="71" t="n">
        <v>3423</v>
      </c>
      <c r="G60" s="71" t="n">
        <v>2318</v>
      </c>
      <c r="H60" s="71" t="n">
        <v>1105</v>
      </c>
      <c r="I60" s="71" t="s">
        <v>144</v>
      </c>
      <c r="J60" s="71" t="s">
        <v>101</v>
      </c>
      <c r="K60" s="71" t="n">
        <v>30</v>
      </c>
      <c r="L60" s="71" t="n">
        <v>200</v>
      </c>
      <c r="M60" s="71" t="n">
        <v>10001</v>
      </c>
      <c r="N60" s="71" t="n">
        <v>10002</v>
      </c>
      <c r="O60" s="71" t="n">
        <v>50957</v>
      </c>
      <c r="P60" s="71" t="n">
        <v>60002</v>
      </c>
      <c r="Q60" s="71" t="n">
        <v>3936</v>
      </c>
      <c r="R60" s="71" t="n">
        <v>7731</v>
      </c>
    </row>
    <row r="61" customFormat="false" ht="15" hidden="false" customHeight="true" outlineLevel="0" collapsed="false">
      <c r="E61" s="72" t="s">
        <v>119</v>
      </c>
      <c r="F61" s="73" t="n">
        <v>2275</v>
      </c>
      <c r="G61" s="73" t="n">
        <v>1465</v>
      </c>
      <c r="H61" s="73" t="n">
        <v>810</v>
      </c>
      <c r="I61" s="73" t="s">
        <v>145</v>
      </c>
      <c r="J61" s="73" t="s">
        <v>146</v>
      </c>
      <c r="K61" s="73" t="n">
        <v>0</v>
      </c>
      <c r="L61" s="73" t="n">
        <v>121</v>
      </c>
      <c r="M61" s="73" t="n">
        <v>9443</v>
      </c>
      <c r="N61" s="73" t="n">
        <v>10001</v>
      </c>
      <c r="O61" s="73" t="n">
        <v>21181</v>
      </c>
      <c r="P61" s="73" t="n">
        <v>60002</v>
      </c>
      <c r="Q61" s="73" t="n">
        <v>3193</v>
      </c>
      <c r="R61" s="73" t="n">
        <v>6685</v>
      </c>
    </row>
    <row r="62" customFormat="false" ht="15" hidden="false" customHeight="true" outlineLevel="0" collapsed="false">
      <c r="E62" s="70" t="s">
        <v>109</v>
      </c>
      <c r="F62" s="71" t="n">
        <v>2084</v>
      </c>
      <c r="G62" s="71" t="n">
        <v>1465</v>
      </c>
      <c r="H62" s="71" t="n">
        <v>619</v>
      </c>
      <c r="I62" s="71" t="s">
        <v>147</v>
      </c>
      <c r="J62" s="71" t="s">
        <v>89</v>
      </c>
      <c r="K62" s="71" t="n">
        <v>30</v>
      </c>
      <c r="L62" s="71" t="n">
        <v>155</v>
      </c>
      <c r="M62" s="71" t="n">
        <v>10000</v>
      </c>
      <c r="N62" s="71" t="n">
        <v>10001</v>
      </c>
      <c r="O62" s="71" t="n">
        <v>47211</v>
      </c>
      <c r="P62" s="71" t="n">
        <v>60002</v>
      </c>
      <c r="Q62" s="71" t="n">
        <v>3487</v>
      </c>
      <c r="R62" s="71" t="n">
        <v>6914</v>
      </c>
    </row>
    <row r="63" customFormat="false" ht="15" hidden="false" customHeight="true" outlineLevel="0" collapsed="false">
      <c r="E63" s="72" t="s">
        <v>110</v>
      </c>
      <c r="F63" s="73" t="n">
        <v>3666</v>
      </c>
      <c r="G63" s="73" t="n">
        <v>2327</v>
      </c>
      <c r="H63" s="73" t="n">
        <v>1339</v>
      </c>
      <c r="I63" s="73" t="s">
        <v>148</v>
      </c>
      <c r="J63" s="73" t="s">
        <v>149</v>
      </c>
      <c r="K63" s="73" t="n">
        <v>74</v>
      </c>
      <c r="L63" s="73" t="n">
        <v>513</v>
      </c>
      <c r="M63" s="73" t="n">
        <v>30003</v>
      </c>
      <c r="N63" s="73" t="n">
        <v>30004</v>
      </c>
      <c r="O63" s="73" t="n">
        <v>119039</v>
      </c>
      <c r="P63" s="73" t="n">
        <v>180003</v>
      </c>
      <c r="Q63" s="73" t="n">
        <v>13271</v>
      </c>
      <c r="R63" s="73" t="n">
        <v>22220</v>
      </c>
    </row>
    <row r="64" customFormat="false" ht="15" hidden="false" customHeight="true" outlineLevel="0" collapsed="false">
      <c r="E64" s="70" t="s">
        <v>93</v>
      </c>
      <c r="F64" s="71" t="n">
        <v>3674</v>
      </c>
      <c r="G64" s="71" t="n">
        <v>2331</v>
      </c>
      <c r="H64" s="71" t="n">
        <v>1343</v>
      </c>
      <c r="I64" s="71" t="s">
        <v>150</v>
      </c>
      <c r="J64" s="71" t="s">
        <v>149</v>
      </c>
      <c r="K64" s="71" t="n">
        <v>19</v>
      </c>
      <c r="L64" s="71" t="n">
        <v>140</v>
      </c>
      <c r="M64" s="71" t="n">
        <v>10001</v>
      </c>
      <c r="N64" s="71" t="n">
        <v>10002</v>
      </c>
      <c r="O64" s="71" t="n">
        <v>48060</v>
      </c>
      <c r="P64" s="71" t="n">
        <v>60001</v>
      </c>
      <c r="Q64" s="71" t="n">
        <v>4328</v>
      </c>
      <c r="R64" s="71" t="n">
        <v>7796</v>
      </c>
    </row>
    <row r="65" customFormat="false" ht="15" hidden="false" customHeight="true" outlineLevel="0" collapsed="false">
      <c r="E65" s="70" t="s">
        <v>112</v>
      </c>
      <c r="F65" s="71" t="n">
        <v>3671</v>
      </c>
      <c r="G65" s="71" t="n">
        <v>2329</v>
      </c>
      <c r="H65" s="71" t="n">
        <v>1342</v>
      </c>
      <c r="I65" s="71" t="s">
        <v>151</v>
      </c>
      <c r="J65" s="71" t="s">
        <v>149</v>
      </c>
      <c r="K65" s="71" t="n">
        <v>27</v>
      </c>
      <c r="L65" s="71" t="n">
        <v>201</v>
      </c>
      <c r="M65" s="71" t="n">
        <v>10001</v>
      </c>
      <c r="N65" s="71" t="n">
        <v>10001</v>
      </c>
      <c r="O65" s="71" t="n">
        <v>47547</v>
      </c>
      <c r="P65" s="71" t="n">
        <v>60002</v>
      </c>
      <c r="Q65" s="71" t="n">
        <v>4496</v>
      </c>
      <c r="R65" s="71" t="n">
        <v>8275</v>
      </c>
    </row>
    <row r="66" customFormat="false" ht="15" hidden="false" customHeight="true" outlineLevel="0" collapsed="false">
      <c r="E66" s="70" t="s">
        <v>95</v>
      </c>
      <c r="F66" s="71" t="n">
        <v>3668</v>
      </c>
      <c r="G66" s="71" t="n">
        <v>2327</v>
      </c>
      <c r="H66" s="71" t="n">
        <v>1341</v>
      </c>
      <c r="I66" s="71" t="s">
        <v>151</v>
      </c>
      <c r="J66" s="71" t="s">
        <v>149</v>
      </c>
      <c r="K66" s="71" t="n">
        <v>24</v>
      </c>
      <c r="L66" s="71" t="n">
        <v>197</v>
      </c>
      <c r="M66" s="71" t="n">
        <v>10001</v>
      </c>
      <c r="N66" s="71" t="n">
        <v>10001</v>
      </c>
      <c r="O66" s="71" t="n">
        <v>49183</v>
      </c>
      <c r="P66" s="71" t="n">
        <v>60002</v>
      </c>
      <c r="Q66" s="71" t="n">
        <v>4464</v>
      </c>
      <c r="R66" s="71" t="n">
        <v>8200</v>
      </c>
    </row>
    <row r="67" customFormat="false" ht="15" hidden="false" customHeight="true" outlineLevel="0" collapsed="false">
      <c r="E67" s="72" t="s">
        <v>113</v>
      </c>
      <c r="F67" s="73" t="n">
        <v>4487</v>
      </c>
      <c r="G67" s="73" t="n">
        <v>2724</v>
      </c>
      <c r="H67" s="73" t="n">
        <v>1763</v>
      </c>
      <c r="I67" s="73" t="s">
        <v>152</v>
      </c>
      <c r="J67" s="73" t="s">
        <v>153</v>
      </c>
      <c r="K67" s="73" t="n">
        <v>45</v>
      </c>
      <c r="L67" s="73" t="n">
        <v>380</v>
      </c>
      <c r="M67" s="73" t="n">
        <v>20002</v>
      </c>
      <c r="N67" s="73" t="n">
        <v>20003</v>
      </c>
      <c r="O67" s="73" t="n">
        <v>80092</v>
      </c>
      <c r="P67" s="73" t="n">
        <v>120002</v>
      </c>
      <c r="Q67" s="73" t="n">
        <v>9497</v>
      </c>
      <c r="R67" s="73" t="n">
        <v>15611</v>
      </c>
    </row>
    <row r="68" customFormat="false" ht="15" hidden="false" customHeight="true" outlineLevel="0" collapsed="false">
      <c r="E68" s="70" t="s">
        <v>93</v>
      </c>
      <c r="F68" s="71" t="n">
        <v>4494</v>
      </c>
      <c r="G68" s="71" t="n">
        <v>2724</v>
      </c>
      <c r="H68" s="71" t="n">
        <v>1770</v>
      </c>
      <c r="I68" s="71" t="s">
        <v>154</v>
      </c>
      <c r="J68" s="71" t="s">
        <v>153</v>
      </c>
      <c r="K68" s="71" t="n">
        <v>21</v>
      </c>
      <c r="L68" s="71" t="n">
        <v>187</v>
      </c>
      <c r="M68" s="71" t="n">
        <v>10001</v>
      </c>
      <c r="N68" s="71" t="n">
        <v>10002</v>
      </c>
      <c r="O68" s="71" t="n">
        <v>53289</v>
      </c>
      <c r="P68" s="71" t="n">
        <v>60002</v>
      </c>
      <c r="Q68" s="71" t="n">
        <v>4785</v>
      </c>
      <c r="R68" s="71" t="n">
        <v>8474</v>
      </c>
    </row>
    <row r="69" customFormat="false" ht="15" hidden="false" customHeight="true" outlineLevel="0" collapsed="false">
      <c r="E69" s="70" t="s">
        <v>95</v>
      </c>
      <c r="F69" s="71" t="n">
        <v>4490</v>
      </c>
      <c r="G69" s="71" t="n">
        <v>2724</v>
      </c>
      <c r="H69" s="71" t="n">
        <v>1766</v>
      </c>
      <c r="I69" s="71" t="s">
        <v>155</v>
      </c>
      <c r="J69" s="71" t="s">
        <v>153</v>
      </c>
      <c r="K69" s="71" t="n">
        <v>24</v>
      </c>
      <c r="L69" s="71" t="n">
        <v>205</v>
      </c>
      <c r="M69" s="71" t="n">
        <v>10001</v>
      </c>
      <c r="N69" s="71" t="n">
        <v>10001</v>
      </c>
      <c r="O69" s="71" t="n">
        <v>47081</v>
      </c>
      <c r="P69" s="71" t="n">
        <v>60002</v>
      </c>
      <c r="Q69" s="71" t="n">
        <v>4723</v>
      </c>
      <c r="R69" s="71" t="n">
        <v>8182</v>
      </c>
    </row>
    <row r="70" customFormat="false" ht="15" hidden="false" customHeight="true" outlineLevel="0" collapsed="false">
      <c r="E70" s="72" t="s">
        <v>104</v>
      </c>
      <c r="F70" s="73" t="n">
        <v>1248</v>
      </c>
      <c r="G70" s="73" t="n">
        <v>837</v>
      </c>
      <c r="H70" s="73" t="n">
        <v>411</v>
      </c>
      <c r="I70" s="73" t="s">
        <v>156</v>
      </c>
      <c r="J70" s="73" t="s">
        <v>108</v>
      </c>
      <c r="K70" s="73" t="n">
        <v>27</v>
      </c>
      <c r="L70" s="73" t="n">
        <v>209</v>
      </c>
      <c r="M70" s="73" t="n">
        <v>10001</v>
      </c>
      <c r="N70" s="73" t="n">
        <v>10001</v>
      </c>
      <c r="O70" s="73" t="n">
        <v>48668</v>
      </c>
      <c r="P70" s="73" t="n">
        <v>60001</v>
      </c>
      <c r="Q70" s="73" t="n">
        <v>4024</v>
      </c>
      <c r="R70" s="73" t="n">
        <v>7784</v>
      </c>
    </row>
    <row r="71" customFormat="false" ht="15" hidden="false" customHeight="true" outlineLevel="0" collapsed="false">
      <c r="E71" s="70" t="s">
        <v>100</v>
      </c>
      <c r="F71" s="71" t="n">
        <v>1248</v>
      </c>
      <c r="G71" s="71" t="n">
        <v>837</v>
      </c>
      <c r="H71" s="71" t="n">
        <v>411</v>
      </c>
      <c r="I71" s="71" t="s">
        <v>156</v>
      </c>
      <c r="J71" s="71" t="s">
        <v>108</v>
      </c>
      <c r="K71" s="71" t="n">
        <v>27</v>
      </c>
      <c r="L71" s="71" t="n">
        <v>210</v>
      </c>
      <c r="M71" s="71" t="n">
        <v>10001</v>
      </c>
      <c r="N71" s="71" t="n">
        <v>10001</v>
      </c>
      <c r="O71" s="71" t="n">
        <v>37716</v>
      </c>
      <c r="P71" s="71" t="n">
        <v>60001</v>
      </c>
      <c r="Q71" s="71" t="n">
        <v>4024</v>
      </c>
      <c r="R71" s="71" t="n">
        <v>7784</v>
      </c>
    </row>
    <row r="72" customFormat="false" ht="15" hidden="false" customHeight="true" outlineLevel="0" collapsed="false">
      <c r="E72" s="72" t="s">
        <v>106</v>
      </c>
      <c r="F72" s="73" t="n">
        <v>1246</v>
      </c>
      <c r="G72" s="73" t="n">
        <v>836</v>
      </c>
      <c r="H72" s="73" t="n">
        <v>410</v>
      </c>
      <c r="I72" s="73" t="s">
        <v>157</v>
      </c>
      <c r="J72" s="73" t="s">
        <v>108</v>
      </c>
      <c r="K72" s="73" t="n">
        <v>28</v>
      </c>
      <c r="L72" s="73" t="n">
        <v>168</v>
      </c>
      <c r="M72" s="73" t="n">
        <v>10001</v>
      </c>
      <c r="N72" s="73" t="n">
        <v>10001</v>
      </c>
      <c r="O72" s="73" t="n">
        <v>37422</v>
      </c>
      <c r="P72" s="73" t="n">
        <v>60001</v>
      </c>
      <c r="Q72" s="73" t="n">
        <v>3936</v>
      </c>
      <c r="R72" s="73" t="n">
        <v>7535</v>
      </c>
    </row>
    <row r="73" customFormat="false" ht="15" hidden="false" customHeight="true" outlineLevel="0" collapsed="false">
      <c r="E73" s="70" t="s">
        <v>100</v>
      </c>
      <c r="F73" s="71" t="n">
        <v>1246</v>
      </c>
      <c r="G73" s="71" t="n">
        <v>836</v>
      </c>
      <c r="H73" s="71" t="n">
        <v>410</v>
      </c>
      <c r="I73" s="71" t="s">
        <v>157</v>
      </c>
      <c r="J73" s="71" t="s">
        <v>108</v>
      </c>
      <c r="K73" s="71" t="n">
        <v>28</v>
      </c>
      <c r="L73" s="71" t="n">
        <v>165</v>
      </c>
      <c r="M73" s="71" t="n">
        <v>10001</v>
      </c>
      <c r="N73" s="71" t="n">
        <v>10002</v>
      </c>
      <c r="O73" s="71" t="n">
        <v>47356</v>
      </c>
      <c r="P73" s="71" t="n">
        <v>60001</v>
      </c>
      <c r="Q73" s="71" t="n">
        <v>3936</v>
      </c>
      <c r="R73" s="71" t="n">
        <v>7535</v>
      </c>
    </row>
    <row r="74" customFormat="false" ht="15" hidden="false" customHeight="true" outlineLevel="0" collapsed="false">
      <c r="E74" s="72" t="s">
        <v>114</v>
      </c>
      <c r="F74" s="73" t="n">
        <v>1244</v>
      </c>
      <c r="G74" s="73" t="n">
        <v>834</v>
      </c>
      <c r="H74" s="73" t="n">
        <v>410</v>
      </c>
      <c r="I74" s="73" t="s">
        <v>158</v>
      </c>
      <c r="J74" s="73" t="s">
        <v>108</v>
      </c>
      <c r="K74" s="73" t="n">
        <v>74</v>
      </c>
      <c r="L74" s="73" t="n">
        <v>416</v>
      </c>
      <c r="M74" s="73" t="n">
        <v>30003</v>
      </c>
      <c r="N74" s="73" t="n">
        <v>30004</v>
      </c>
      <c r="O74" s="73" t="n">
        <v>106640</v>
      </c>
      <c r="P74" s="73" t="n">
        <v>180003</v>
      </c>
      <c r="Q74" s="73" t="n">
        <v>12103</v>
      </c>
      <c r="R74" s="73" t="n">
        <v>22136</v>
      </c>
    </row>
    <row r="75" customFormat="false" ht="15" hidden="false" customHeight="true" outlineLevel="0" collapsed="false">
      <c r="E75" s="70" t="s">
        <v>93</v>
      </c>
      <c r="F75" s="71" t="n">
        <v>1246</v>
      </c>
      <c r="G75" s="71" t="n">
        <v>835</v>
      </c>
      <c r="H75" s="71" t="n">
        <v>411</v>
      </c>
      <c r="I75" s="71" t="s">
        <v>159</v>
      </c>
      <c r="J75" s="71" t="s">
        <v>108</v>
      </c>
      <c r="K75" s="71" t="n">
        <v>20</v>
      </c>
      <c r="L75" s="71" t="n">
        <v>89</v>
      </c>
      <c r="M75" s="71" t="n">
        <v>10001</v>
      </c>
      <c r="N75" s="71" t="n">
        <v>10001</v>
      </c>
      <c r="O75" s="71" t="n">
        <v>38869</v>
      </c>
      <c r="P75" s="71" t="n">
        <v>60001</v>
      </c>
      <c r="Q75" s="71" t="n">
        <v>3989</v>
      </c>
      <c r="R75" s="71" t="n">
        <v>7876</v>
      </c>
    </row>
    <row r="76" customFormat="false" ht="15" hidden="false" customHeight="true" outlineLevel="0" collapsed="false">
      <c r="E76" s="70" t="s">
        <v>95</v>
      </c>
      <c r="F76" s="71" t="n">
        <v>1245</v>
      </c>
      <c r="G76" s="71" t="n">
        <v>835</v>
      </c>
      <c r="H76" s="71" t="n">
        <v>410</v>
      </c>
      <c r="I76" s="71" t="s">
        <v>156</v>
      </c>
      <c r="J76" s="71" t="s">
        <v>108</v>
      </c>
      <c r="K76" s="71" t="n">
        <v>24</v>
      </c>
      <c r="L76" s="71" t="n">
        <v>126</v>
      </c>
      <c r="M76" s="71" t="n">
        <v>10001</v>
      </c>
      <c r="N76" s="71" t="n">
        <v>10001</v>
      </c>
      <c r="O76" s="71" t="n">
        <v>39243</v>
      </c>
      <c r="P76" s="71" t="n">
        <v>60001</v>
      </c>
      <c r="Q76" s="71" t="n">
        <v>3931</v>
      </c>
      <c r="R76" s="71" t="n">
        <v>7541</v>
      </c>
    </row>
    <row r="77" customFormat="false" ht="15" hidden="false" customHeight="true" outlineLevel="0" collapsed="false">
      <c r="E77" s="70" t="s">
        <v>100</v>
      </c>
      <c r="F77" s="71" t="n">
        <v>1244</v>
      </c>
      <c r="G77" s="71" t="n">
        <v>834</v>
      </c>
      <c r="H77" s="71" t="n">
        <v>410</v>
      </c>
      <c r="I77" s="71" t="s">
        <v>158</v>
      </c>
      <c r="J77" s="71" t="s">
        <v>108</v>
      </c>
      <c r="K77" s="71" t="n">
        <v>26</v>
      </c>
      <c r="L77" s="71" t="n">
        <v>179</v>
      </c>
      <c r="M77" s="71" t="n">
        <v>10001</v>
      </c>
      <c r="N77" s="71" t="n">
        <v>10001</v>
      </c>
      <c r="O77" s="71" t="n">
        <v>43842</v>
      </c>
      <c r="P77" s="71" t="n">
        <v>60002</v>
      </c>
      <c r="Q77" s="71" t="n">
        <v>4187</v>
      </c>
      <c r="R77" s="71" t="n">
        <v>8469</v>
      </c>
    </row>
    <row r="78" customFormat="false" ht="15" hidden="false" customHeight="true" outlineLevel="0" collapsed="false">
      <c r="E78" s="72" t="s">
        <v>116</v>
      </c>
      <c r="F78" s="73" t="n">
        <v>903</v>
      </c>
      <c r="G78" s="73" t="n">
        <v>614</v>
      </c>
      <c r="H78" s="73" t="n">
        <v>289</v>
      </c>
      <c r="I78" s="73" t="s">
        <v>160</v>
      </c>
      <c r="J78" s="73" t="s">
        <v>161</v>
      </c>
      <c r="K78" s="73" t="n">
        <v>0</v>
      </c>
      <c r="L78" s="73" t="n">
        <v>126</v>
      </c>
      <c r="M78" s="73" t="n">
        <v>9398</v>
      </c>
      <c r="N78" s="73" t="n">
        <v>10001</v>
      </c>
      <c r="O78" s="73" t="n">
        <v>37941</v>
      </c>
      <c r="P78" s="73" t="n">
        <v>60001</v>
      </c>
      <c r="Q78" s="73" t="n">
        <v>3289</v>
      </c>
      <c r="R78" s="73" t="n">
        <v>8025</v>
      </c>
    </row>
    <row r="79" customFormat="false" ht="15" hidden="false" customHeight="true" outlineLevel="0" collapsed="false">
      <c r="E79" s="70" t="s">
        <v>112</v>
      </c>
      <c r="F79" s="71" t="n">
        <v>838</v>
      </c>
      <c r="G79" s="71" t="n">
        <v>614</v>
      </c>
      <c r="H79" s="71" t="n">
        <v>224</v>
      </c>
      <c r="I79" s="71" t="s">
        <v>162</v>
      </c>
      <c r="J79" s="71" t="s">
        <v>161</v>
      </c>
      <c r="K79" s="71" t="n">
        <v>28</v>
      </c>
      <c r="L79" s="71" t="n">
        <v>149</v>
      </c>
      <c r="M79" s="71" t="n">
        <v>9825</v>
      </c>
      <c r="N79" s="71" t="n">
        <v>10001</v>
      </c>
      <c r="O79" s="71" t="n">
        <v>39228</v>
      </c>
      <c r="P79" s="71" t="n">
        <v>60001</v>
      </c>
      <c r="Q79" s="71" t="n">
        <v>3544</v>
      </c>
      <c r="R79" s="71" t="n">
        <v>8276</v>
      </c>
    </row>
    <row r="80" customFormat="false" ht="15" hidden="false" customHeight="true" outlineLevel="0" collapsed="false">
      <c r="E80" s="74" t="s">
        <v>121</v>
      </c>
      <c r="F80" s="75" t="n">
        <f aca="false">F46+F50+F53+F57+F59+F61+F63+F67+F70+F72+F74+F78</f>
        <v>40215</v>
      </c>
    </row>
    <row r="82" customFormat="false" ht="15" hidden="false" customHeight="true" outlineLevel="0" collapsed="false">
      <c r="E82" s="68" t="s">
        <v>163</v>
      </c>
    </row>
    <row r="83" customFormat="false" ht="15" hidden="false" customHeight="true" outlineLevel="0" collapsed="false">
      <c r="E83" s="76" t="s">
        <v>66</v>
      </c>
      <c r="F83" s="76" t="s">
        <v>67</v>
      </c>
      <c r="G83" s="76"/>
      <c r="H83" s="76"/>
      <c r="I83" s="76"/>
      <c r="J83" s="76"/>
      <c r="K83" s="76" t="s">
        <v>68</v>
      </c>
      <c r="L83" s="76"/>
      <c r="M83" s="76"/>
      <c r="N83" s="76"/>
      <c r="O83" s="76"/>
      <c r="P83" s="76"/>
      <c r="Q83" s="76"/>
      <c r="R83" s="76"/>
    </row>
    <row r="84" customFormat="false" ht="15" hidden="false" customHeight="true" outlineLevel="0" collapsed="false">
      <c r="E84" s="76"/>
      <c r="F84" s="76" t="s">
        <v>70</v>
      </c>
      <c r="G84" s="76" t="s">
        <v>71</v>
      </c>
      <c r="H84" s="76" t="s">
        <v>72</v>
      </c>
      <c r="I84" s="76" t="s">
        <v>73</v>
      </c>
      <c r="J84" s="76" t="s">
        <v>74</v>
      </c>
      <c r="K84" s="76" t="s">
        <v>75</v>
      </c>
      <c r="L84" s="76" t="s">
        <v>76</v>
      </c>
      <c r="M84" s="76" t="s">
        <v>77</v>
      </c>
      <c r="N84" s="76" t="s">
        <v>78</v>
      </c>
      <c r="O84" s="76" t="s">
        <v>79</v>
      </c>
      <c r="P84" s="76" t="s">
        <v>80</v>
      </c>
      <c r="Q84" s="76" t="s">
        <v>81</v>
      </c>
      <c r="R84" s="76" t="s">
        <v>82</v>
      </c>
    </row>
    <row r="85" customFormat="false" ht="15" hidden="false" customHeight="true" outlineLevel="0" collapsed="false">
      <c r="E85" s="70" t="s">
        <v>84</v>
      </c>
      <c r="F85" s="71" t="n">
        <v>48139</v>
      </c>
      <c r="G85" s="71" t="n">
        <v>48135</v>
      </c>
      <c r="H85" s="71" t="n">
        <v>4</v>
      </c>
      <c r="I85" s="71" t="s">
        <v>164</v>
      </c>
      <c r="J85" s="71" t="s">
        <v>165</v>
      </c>
      <c r="K85" s="71" t="n">
        <v>0</v>
      </c>
      <c r="L85" s="71" t="n">
        <v>101</v>
      </c>
      <c r="M85" s="71" t="n">
        <v>205</v>
      </c>
      <c r="N85" s="71" t="n">
        <v>324</v>
      </c>
      <c r="O85" s="71" t="n">
        <v>684</v>
      </c>
      <c r="P85" s="71" t="n">
        <v>1450</v>
      </c>
      <c r="Q85" s="71" t="n">
        <v>144</v>
      </c>
      <c r="R85" s="71" t="n">
        <v>141</v>
      </c>
    </row>
    <row r="86" customFormat="false" ht="15" hidden="false" customHeight="true" outlineLevel="0" collapsed="false">
      <c r="E86" s="72" t="s">
        <v>88</v>
      </c>
      <c r="F86" s="73" t="n">
        <v>3868</v>
      </c>
      <c r="G86" s="73" t="n">
        <v>3868</v>
      </c>
      <c r="H86" s="73" t="n">
        <v>0</v>
      </c>
      <c r="I86" s="73" t="s">
        <v>85</v>
      </c>
      <c r="J86" s="73" t="s">
        <v>166</v>
      </c>
      <c r="K86" s="73" t="n">
        <v>49</v>
      </c>
      <c r="L86" s="73" t="n">
        <v>287</v>
      </c>
      <c r="M86" s="73" t="n">
        <v>480</v>
      </c>
      <c r="N86" s="73" t="n">
        <v>688</v>
      </c>
      <c r="O86" s="73" t="n">
        <v>1145</v>
      </c>
      <c r="P86" s="73" t="n">
        <v>1956</v>
      </c>
      <c r="Q86" s="73" t="n">
        <v>343</v>
      </c>
      <c r="R86" s="73" t="n">
        <v>251</v>
      </c>
    </row>
    <row r="87" customFormat="false" ht="15" hidden="false" customHeight="true" outlineLevel="0" collapsed="false">
      <c r="E87" s="70" t="s">
        <v>91</v>
      </c>
      <c r="F87" s="71" t="n">
        <v>3870</v>
      </c>
      <c r="G87" s="71" t="n">
        <v>3870</v>
      </c>
      <c r="H87" s="71" t="n">
        <v>0</v>
      </c>
      <c r="I87" s="71" t="s">
        <v>85</v>
      </c>
      <c r="J87" s="71" t="s">
        <v>166</v>
      </c>
      <c r="K87" s="71" t="n">
        <v>0</v>
      </c>
      <c r="L87" s="71" t="n">
        <v>2</v>
      </c>
      <c r="M87" s="71" t="n">
        <v>17</v>
      </c>
      <c r="N87" s="71" t="n">
        <v>60</v>
      </c>
      <c r="O87" s="71" t="n">
        <v>113</v>
      </c>
      <c r="P87" s="71" t="n">
        <v>188</v>
      </c>
      <c r="Q87" s="71" t="n">
        <v>15</v>
      </c>
      <c r="R87" s="71" t="n">
        <v>27</v>
      </c>
    </row>
    <row r="88" customFormat="false" ht="15" hidden="false" customHeight="true" outlineLevel="0" collapsed="false">
      <c r="E88" s="70" t="s">
        <v>93</v>
      </c>
      <c r="F88" s="71" t="n">
        <v>3870</v>
      </c>
      <c r="G88" s="71" t="n">
        <v>3870</v>
      </c>
      <c r="H88" s="71" t="n">
        <v>0</v>
      </c>
      <c r="I88" s="71" t="s">
        <v>85</v>
      </c>
      <c r="J88" s="71" t="s">
        <v>166</v>
      </c>
      <c r="K88" s="71" t="n">
        <v>21</v>
      </c>
      <c r="L88" s="71" t="n">
        <v>95</v>
      </c>
      <c r="M88" s="71" t="n">
        <v>197</v>
      </c>
      <c r="N88" s="71" t="n">
        <v>295</v>
      </c>
      <c r="O88" s="71" t="n">
        <v>585</v>
      </c>
      <c r="P88" s="71" t="n">
        <v>1026</v>
      </c>
      <c r="Q88" s="71" t="n">
        <v>128</v>
      </c>
      <c r="R88" s="71" t="n">
        <v>123</v>
      </c>
    </row>
    <row r="89" customFormat="false" ht="15" hidden="false" customHeight="true" outlineLevel="0" collapsed="false">
      <c r="E89" s="70" t="s">
        <v>95</v>
      </c>
      <c r="F89" s="71" t="n">
        <v>3870</v>
      </c>
      <c r="G89" s="71" t="n">
        <v>3870</v>
      </c>
      <c r="H89" s="71" t="n">
        <v>0</v>
      </c>
      <c r="I89" s="71" t="s">
        <v>85</v>
      </c>
      <c r="J89" s="71" t="s">
        <v>166</v>
      </c>
      <c r="K89" s="71" t="n">
        <v>24</v>
      </c>
      <c r="L89" s="71" t="n">
        <v>180</v>
      </c>
      <c r="M89" s="71" t="n">
        <v>282</v>
      </c>
      <c r="N89" s="71" t="n">
        <v>394</v>
      </c>
      <c r="O89" s="71" t="n">
        <v>687</v>
      </c>
      <c r="P89" s="71" t="n">
        <v>1269</v>
      </c>
      <c r="Q89" s="71" t="n">
        <v>197</v>
      </c>
      <c r="R89" s="71" t="n">
        <v>145</v>
      </c>
    </row>
    <row r="90" customFormat="false" ht="15" hidden="false" customHeight="true" outlineLevel="0" collapsed="false">
      <c r="E90" s="72" t="s">
        <v>97</v>
      </c>
      <c r="F90" s="73" t="n">
        <v>3130</v>
      </c>
      <c r="G90" s="73" t="n">
        <v>3130</v>
      </c>
      <c r="H90" s="73" t="n">
        <v>0</v>
      </c>
      <c r="I90" s="73" t="s">
        <v>85</v>
      </c>
      <c r="J90" s="73" t="s">
        <v>167</v>
      </c>
      <c r="K90" s="73" t="n">
        <v>89</v>
      </c>
      <c r="L90" s="73" t="n">
        <v>396</v>
      </c>
      <c r="M90" s="73" t="n">
        <v>665</v>
      </c>
      <c r="N90" s="73" t="n">
        <v>1023</v>
      </c>
      <c r="O90" s="73" t="n">
        <v>1698</v>
      </c>
      <c r="P90" s="73" t="n">
        <v>2271</v>
      </c>
      <c r="Q90" s="73" t="n">
        <v>503</v>
      </c>
      <c r="R90" s="73" t="n">
        <v>357</v>
      </c>
    </row>
    <row r="91" customFormat="false" ht="15" hidden="false" customHeight="true" outlineLevel="0" collapsed="false">
      <c r="E91" s="70" t="s">
        <v>100</v>
      </c>
      <c r="F91" s="71" t="n">
        <v>6274</v>
      </c>
      <c r="G91" s="71" t="n">
        <v>6274</v>
      </c>
      <c r="H91" s="71" t="n">
        <v>0</v>
      </c>
      <c r="I91" s="71" t="s">
        <v>85</v>
      </c>
      <c r="J91" s="71" t="s">
        <v>168</v>
      </c>
      <c r="K91" s="71" t="n">
        <v>25</v>
      </c>
      <c r="L91" s="71" t="n">
        <v>117</v>
      </c>
      <c r="M91" s="71" t="n">
        <v>233</v>
      </c>
      <c r="N91" s="71" t="n">
        <v>382</v>
      </c>
      <c r="O91" s="71" t="n">
        <v>881</v>
      </c>
      <c r="P91" s="71" t="n">
        <v>1270</v>
      </c>
      <c r="Q91" s="71" t="n">
        <v>167</v>
      </c>
      <c r="R91" s="71" t="n">
        <v>144</v>
      </c>
    </row>
    <row r="92" customFormat="false" ht="15" hidden="false" customHeight="true" outlineLevel="0" collapsed="false">
      <c r="E92" s="70" t="s">
        <v>95</v>
      </c>
      <c r="F92" s="71" t="n">
        <v>3137</v>
      </c>
      <c r="G92" s="71" t="n">
        <v>3137</v>
      </c>
      <c r="H92" s="71" t="n">
        <v>0</v>
      </c>
      <c r="I92" s="71" t="s">
        <v>85</v>
      </c>
      <c r="J92" s="71" t="s">
        <v>167</v>
      </c>
      <c r="K92" s="71" t="n">
        <v>24</v>
      </c>
      <c r="L92" s="71" t="n">
        <v>106</v>
      </c>
      <c r="M92" s="71" t="n">
        <v>203</v>
      </c>
      <c r="N92" s="71" t="n">
        <v>312</v>
      </c>
      <c r="O92" s="71" t="n">
        <v>594</v>
      </c>
      <c r="P92" s="71" t="n">
        <v>914</v>
      </c>
      <c r="Q92" s="71" t="n">
        <v>151</v>
      </c>
      <c r="R92" s="71" t="n">
        <v>125</v>
      </c>
    </row>
    <row r="93" customFormat="false" ht="15" hidden="false" customHeight="true" outlineLevel="0" collapsed="false">
      <c r="E93" s="72" t="s">
        <v>107</v>
      </c>
      <c r="F93" s="73" t="n">
        <v>2246</v>
      </c>
      <c r="G93" s="73" t="n">
        <v>2246</v>
      </c>
      <c r="H93" s="73" t="n">
        <v>0</v>
      </c>
      <c r="I93" s="73" t="s">
        <v>85</v>
      </c>
      <c r="J93" s="73" t="s">
        <v>169</v>
      </c>
      <c r="K93" s="73" t="n">
        <v>74</v>
      </c>
      <c r="L93" s="73" t="n">
        <v>339</v>
      </c>
      <c r="M93" s="73" t="n">
        <v>569</v>
      </c>
      <c r="N93" s="73" t="n">
        <v>845</v>
      </c>
      <c r="O93" s="73" t="n">
        <v>1504</v>
      </c>
      <c r="P93" s="73" t="n">
        <v>2011</v>
      </c>
      <c r="Q93" s="73" t="n">
        <v>429</v>
      </c>
      <c r="R93" s="73" t="n">
        <v>301</v>
      </c>
    </row>
    <row r="94" customFormat="false" ht="15" hidden="false" customHeight="true" outlineLevel="0" collapsed="false">
      <c r="E94" s="70" t="s">
        <v>93</v>
      </c>
      <c r="F94" s="71" t="n">
        <v>2246</v>
      </c>
      <c r="G94" s="71" t="n">
        <v>2246</v>
      </c>
      <c r="H94" s="71" t="n">
        <v>0</v>
      </c>
      <c r="I94" s="71" t="s">
        <v>85</v>
      </c>
      <c r="J94" s="71" t="s">
        <v>169</v>
      </c>
      <c r="K94" s="71" t="n">
        <v>19</v>
      </c>
      <c r="L94" s="71" t="n">
        <v>52</v>
      </c>
      <c r="M94" s="71" t="n">
        <v>162</v>
      </c>
      <c r="N94" s="71" t="n">
        <v>279</v>
      </c>
      <c r="O94" s="71" t="n">
        <v>690</v>
      </c>
      <c r="P94" s="71" t="n">
        <v>874</v>
      </c>
      <c r="Q94" s="71" t="n">
        <v>107</v>
      </c>
      <c r="R94" s="71" t="n">
        <v>118</v>
      </c>
    </row>
    <row r="95" customFormat="false" ht="15" hidden="false" customHeight="true" outlineLevel="0" collapsed="false">
      <c r="E95" s="70" t="s">
        <v>95</v>
      </c>
      <c r="F95" s="71" t="n">
        <v>2246</v>
      </c>
      <c r="G95" s="71" t="n">
        <v>2246</v>
      </c>
      <c r="H95" s="71" t="n">
        <v>0</v>
      </c>
      <c r="I95" s="71" t="s">
        <v>85</v>
      </c>
      <c r="J95" s="71" t="s">
        <v>169</v>
      </c>
      <c r="K95" s="71" t="n">
        <v>24</v>
      </c>
      <c r="L95" s="71" t="n">
        <v>104</v>
      </c>
      <c r="M95" s="71" t="n">
        <v>198</v>
      </c>
      <c r="N95" s="71" t="n">
        <v>300</v>
      </c>
      <c r="O95" s="71" t="n">
        <v>617</v>
      </c>
      <c r="P95" s="71" t="n">
        <v>865</v>
      </c>
      <c r="Q95" s="71" t="n">
        <v>142</v>
      </c>
      <c r="R95" s="71" t="n">
        <v>120</v>
      </c>
    </row>
    <row r="96" customFormat="false" ht="15" hidden="false" customHeight="true" outlineLevel="0" collapsed="false">
      <c r="E96" s="70" t="s">
        <v>109</v>
      </c>
      <c r="F96" s="71" t="n">
        <v>2246</v>
      </c>
      <c r="G96" s="71" t="n">
        <v>2246</v>
      </c>
      <c r="H96" s="71" t="n">
        <v>0</v>
      </c>
      <c r="I96" s="71" t="s">
        <v>85</v>
      </c>
      <c r="J96" s="71" t="s">
        <v>169</v>
      </c>
      <c r="K96" s="71" t="n">
        <v>29</v>
      </c>
      <c r="L96" s="71" t="n">
        <v>135</v>
      </c>
      <c r="M96" s="71" t="n">
        <v>218</v>
      </c>
      <c r="N96" s="71" t="n">
        <v>344</v>
      </c>
      <c r="O96" s="71" t="n">
        <v>758</v>
      </c>
      <c r="P96" s="71" t="n">
        <v>1195</v>
      </c>
      <c r="Q96" s="71" t="n">
        <v>180</v>
      </c>
      <c r="R96" s="71" t="n">
        <v>125</v>
      </c>
    </row>
    <row r="97" customFormat="false" ht="15" hidden="false" customHeight="true" outlineLevel="0" collapsed="false">
      <c r="E97" s="72" t="s">
        <v>115</v>
      </c>
      <c r="F97" s="73" t="n">
        <v>2027</v>
      </c>
      <c r="G97" s="73" t="n">
        <v>2027</v>
      </c>
      <c r="H97" s="73" t="n">
        <v>0</v>
      </c>
      <c r="I97" s="73" t="s">
        <v>85</v>
      </c>
      <c r="J97" s="73" t="s">
        <v>170</v>
      </c>
      <c r="K97" s="73" t="n">
        <v>30</v>
      </c>
      <c r="L97" s="73" t="n">
        <v>117</v>
      </c>
      <c r="M97" s="73" t="n">
        <v>260</v>
      </c>
      <c r="N97" s="73" t="n">
        <v>405</v>
      </c>
      <c r="O97" s="73" t="n">
        <v>712</v>
      </c>
      <c r="P97" s="73" t="n">
        <v>1172</v>
      </c>
      <c r="Q97" s="73" t="n">
        <v>173</v>
      </c>
      <c r="R97" s="73" t="n">
        <v>171</v>
      </c>
    </row>
    <row r="98" customFormat="false" ht="15" hidden="false" customHeight="true" outlineLevel="0" collapsed="false">
      <c r="E98" s="70" t="s">
        <v>109</v>
      </c>
      <c r="F98" s="71" t="n">
        <v>2027</v>
      </c>
      <c r="G98" s="71" t="n">
        <v>2027</v>
      </c>
      <c r="H98" s="71" t="n">
        <v>0</v>
      </c>
      <c r="I98" s="71" t="s">
        <v>85</v>
      </c>
      <c r="J98" s="71" t="s">
        <v>170</v>
      </c>
      <c r="K98" s="71" t="n">
        <v>30</v>
      </c>
      <c r="L98" s="71" t="n">
        <v>117</v>
      </c>
      <c r="M98" s="71" t="n">
        <v>260</v>
      </c>
      <c r="N98" s="71" t="n">
        <v>407</v>
      </c>
      <c r="O98" s="71" t="n">
        <v>805</v>
      </c>
      <c r="P98" s="71" t="n">
        <v>1172</v>
      </c>
      <c r="Q98" s="71" t="n">
        <v>173</v>
      </c>
      <c r="R98" s="71" t="n">
        <v>171</v>
      </c>
    </row>
    <row r="99" customFormat="false" ht="15" hidden="false" customHeight="true" outlineLevel="0" collapsed="false">
      <c r="E99" s="72" t="s">
        <v>118</v>
      </c>
      <c r="F99" s="73" t="n">
        <v>2024</v>
      </c>
      <c r="G99" s="73" t="n">
        <v>2024</v>
      </c>
      <c r="H99" s="73" t="n">
        <v>0</v>
      </c>
      <c r="I99" s="73" t="s">
        <v>85</v>
      </c>
      <c r="J99" s="73" t="s">
        <v>170</v>
      </c>
      <c r="K99" s="73" t="n">
        <v>30</v>
      </c>
      <c r="L99" s="73" t="n">
        <v>139</v>
      </c>
      <c r="M99" s="73" t="n">
        <v>292</v>
      </c>
      <c r="N99" s="73" t="n">
        <v>432</v>
      </c>
      <c r="O99" s="73" t="n">
        <v>914</v>
      </c>
      <c r="P99" s="73" t="n">
        <v>1179</v>
      </c>
      <c r="Q99" s="73" t="n">
        <v>189</v>
      </c>
      <c r="R99" s="73" t="n">
        <v>175</v>
      </c>
    </row>
    <row r="100" customFormat="false" ht="15" hidden="false" customHeight="true" outlineLevel="0" collapsed="false">
      <c r="E100" s="70" t="s">
        <v>109</v>
      </c>
      <c r="F100" s="71" t="n">
        <v>2027</v>
      </c>
      <c r="G100" s="71" t="n">
        <v>2027</v>
      </c>
      <c r="H100" s="71" t="n">
        <v>0</v>
      </c>
      <c r="I100" s="71" t="s">
        <v>85</v>
      </c>
      <c r="J100" s="71" t="s">
        <v>170</v>
      </c>
      <c r="K100" s="71" t="n">
        <v>30</v>
      </c>
      <c r="L100" s="71" t="n">
        <v>139</v>
      </c>
      <c r="M100" s="71" t="n">
        <v>290</v>
      </c>
      <c r="N100" s="71" t="n">
        <v>440</v>
      </c>
      <c r="O100" s="71" t="n">
        <v>977</v>
      </c>
      <c r="P100" s="71" t="n">
        <v>1179</v>
      </c>
      <c r="Q100" s="71" t="n">
        <v>189</v>
      </c>
      <c r="R100" s="71" t="n">
        <v>175</v>
      </c>
    </row>
    <row r="101" customFormat="false" ht="15" hidden="false" customHeight="true" outlineLevel="0" collapsed="false">
      <c r="E101" s="72" t="s">
        <v>119</v>
      </c>
      <c r="F101" s="73" t="n">
        <v>1278</v>
      </c>
      <c r="G101" s="73" t="n">
        <v>1278</v>
      </c>
      <c r="H101" s="73" t="n">
        <v>0</v>
      </c>
      <c r="I101" s="73" t="s">
        <v>85</v>
      </c>
      <c r="J101" s="73" t="s">
        <v>171</v>
      </c>
      <c r="K101" s="73" t="n">
        <v>31</v>
      </c>
      <c r="L101" s="73" t="n">
        <v>127</v>
      </c>
      <c r="M101" s="73" t="n">
        <v>272</v>
      </c>
      <c r="N101" s="73" t="n">
        <v>406</v>
      </c>
      <c r="O101" s="73" t="n">
        <v>813</v>
      </c>
      <c r="P101" s="73" t="n">
        <v>1267</v>
      </c>
      <c r="Q101" s="73" t="n">
        <v>178</v>
      </c>
      <c r="R101" s="73" t="n">
        <v>172</v>
      </c>
    </row>
    <row r="102" customFormat="false" ht="15" hidden="false" customHeight="true" outlineLevel="0" collapsed="false">
      <c r="E102" s="70" t="s">
        <v>109</v>
      </c>
      <c r="F102" s="71" t="n">
        <v>1278</v>
      </c>
      <c r="G102" s="71" t="n">
        <v>1278</v>
      </c>
      <c r="H102" s="71" t="n">
        <v>0</v>
      </c>
      <c r="I102" s="71" t="s">
        <v>85</v>
      </c>
      <c r="J102" s="71" t="s">
        <v>171</v>
      </c>
      <c r="K102" s="71" t="n">
        <v>30</v>
      </c>
      <c r="L102" s="71" t="n">
        <v>114</v>
      </c>
      <c r="M102" s="71" t="n">
        <v>255</v>
      </c>
      <c r="N102" s="71" t="n">
        <v>399</v>
      </c>
      <c r="O102" s="71" t="n">
        <v>791</v>
      </c>
      <c r="P102" s="71" t="n">
        <v>1264</v>
      </c>
      <c r="Q102" s="71" t="n">
        <v>169</v>
      </c>
      <c r="R102" s="71" t="n">
        <v>167</v>
      </c>
    </row>
    <row r="103" customFormat="false" ht="15" hidden="false" customHeight="true" outlineLevel="0" collapsed="false">
      <c r="E103" s="72" t="s">
        <v>110</v>
      </c>
      <c r="F103" s="73" t="n">
        <v>2032</v>
      </c>
      <c r="G103" s="73" t="n">
        <v>2028</v>
      </c>
      <c r="H103" s="73" t="n">
        <v>4</v>
      </c>
      <c r="I103" s="73" t="s">
        <v>172</v>
      </c>
      <c r="J103" s="73" t="s">
        <v>170</v>
      </c>
      <c r="K103" s="73" t="n">
        <v>76</v>
      </c>
      <c r="L103" s="73" t="n">
        <v>341</v>
      </c>
      <c r="M103" s="73" t="n">
        <v>613</v>
      </c>
      <c r="N103" s="73" t="n">
        <v>945</v>
      </c>
      <c r="O103" s="73" t="n">
        <v>1592</v>
      </c>
      <c r="P103" s="73" t="n">
        <v>2157</v>
      </c>
      <c r="Q103" s="73" t="n">
        <v>459</v>
      </c>
      <c r="R103" s="73" t="n">
        <v>341</v>
      </c>
    </row>
    <row r="104" customFormat="false" ht="15" hidden="false" customHeight="true" outlineLevel="0" collapsed="false">
      <c r="E104" s="70" t="s">
        <v>93</v>
      </c>
      <c r="F104" s="71" t="n">
        <v>2034</v>
      </c>
      <c r="G104" s="71" t="n">
        <v>2034</v>
      </c>
      <c r="H104" s="71" t="n">
        <v>0</v>
      </c>
      <c r="I104" s="71" t="s">
        <v>85</v>
      </c>
      <c r="J104" s="71" t="s">
        <v>170</v>
      </c>
      <c r="K104" s="71" t="n">
        <v>19</v>
      </c>
      <c r="L104" s="71" t="n">
        <v>45</v>
      </c>
      <c r="M104" s="71" t="n">
        <v>171</v>
      </c>
      <c r="N104" s="71" t="n">
        <v>282</v>
      </c>
      <c r="O104" s="71" t="n">
        <v>707</v>
      </c>
      <c r="P104" s="71" t="n">
        <v>866</v>
      </c>
      <c r="Q104" s="71" t="n">
        <v>111</v>
      </c>
      <c r="R104" s="71" t="n">
        <v>124</v>
      </c>
    </row>
    <row r="105" customFormat="false" ht="15" hidden="false" customHeight="true" outlineLevel="0" collapsed="false">
      <c r="E105" s="70" t="s">
        <v>112</v>
      </c>
      <c r="F105" s="71" t="n">
        <v>2034</v>
      </c>
      <c r="G105" s="71" t="n">
        <v>2030</v>
      </c>
      <c r="H105" s="71" t="n">
        <v>4</v>
      </c>
      <c r="I105" s="71" t="s">
        <v>172</v>
      </c>
      <c r="J105" s="71" t="s">
        <v>170</v>
      </c>
      <c r="K105" s="71" t="n">
        <v>28</v>
      </c>
      <c r="L105" s="71" t="n">
        <v>116</v>
      </c>
      <c r="M105" s="71" t="n">
        <v>216</v>
      </c>
      <c r="N105" s="71" t="n">
        <v>394</v>
      </c>
      <c r="O105" s="71" t="n">
        <v>691</v>
      </c>
      <c r="P105" s="71" t="n">
        <v>1208</v>
      </c>
      <c r="Q105" s="71" t="n">
        <v>173</v>
      </c>
      <c r="R105" s="71" t="n">
        <v>147</v>
      </c>
    </row>
    <row r="106" customFormat="false" ht="15" hidden="false" customHeight="true" outlineLevel="0" collapsed="false">
      <c r="E106" s="70" t="s">
        <v>95</v>
      </c>
      <c r="F106" s="71" t="n">
        <v>2034</v>
      </c>
      <c r="G106" s="71" t="n">
        <v>2034</v>
      </c>
      <c r="H106" s="71" t="n">
        <v>0</v>
      </c>
      <c r="I106" s="71" t="s">
        <v>85</v>
      </c>
      <c r="J106" s="71" t="s">
        <v>170</v>
      </c>
      <c r="K106" s="71" t="n">
        <v>24</v>
      </c>
      <c r="L106" s="71" t="n">
        <v>112</v>
      </c>
      <c r="M106" s="71" t="n">
        <v>208</v>
      </c>
      <c r="N106" s="71" t="n">
        <v>324</v>
      </c>
      <c r="O106" s="71" t="n">
        <v>684</v>
      </c>
      <c r="P106" s="71" t="n">
        <v>1024</v>
      </c>
      <c r="Q106" s="71" t="n">
        <v>163</v>
      </c>
      <c r="R106" s="71" t="n">
        <v>130</v>
      </c>
    </row>
    <row r="107" customFormat="false" ht="15" hidden="false" customHeight="true" outlineLevel="0" collapsed="false">
      <c r="E107" s="72" t="s">
        <v>113</v>
      </c>
      <c r="F107" s="73" t="n">
        <v>2377</v>
      </c>
      <c r="G107" s="73" t="n">
        <v>2377</v>
      </c>
      <c r="H107" s="73" t="n">
        <v>0</v>
      </c>
      <c r="I107" s="73" t="s">
        <v>85</v>
      </c>
      <c r="J107" s="73" t="s">
        <v>173</v>
      </c>
      <c r="K107" s="73" t="n">
        <v>46</v>
      </c>
      <c r="L107" s="73" t="n">
        <v>204</v>
      </c>
      <c r="M107" s="73" t="n">
        <v>401</v>
      </c>
      <c r="N107" s="73" t="n">
        <v>609</v>
      </c>
      <c r="O107" s="73" t="n">
        <v>1111</v>
      </c>
      <c r="P107" s="73" t="n">
        <v>1550</v>
      </c>
      <c r="Q107" s="73" t="n">
        <v>279</v>
      </c>
      <c r="R107" s="73" t="n">
        <v>238</v>
      </c>
    </row>
    <row r="108" customFormat="false" ht="15" hidden="false" customHeight="true" outlineLevel="0" collapsed="false">
      <c r="E108" s="70" t="s">
        <v>93</v>
      </c>
      <c r="F108" s="71" t="n">
        <v>2379</v>
      </c>
      <c r="G108" s="71" t="n">
        <v>2379</v>
      </c>
      <c r="H108" s="71" t="n">
        <v>0</v>
      </c>
      <c r="I108" s="71" t="s">
        <v>85</v>
      </c>
      <c r="J108" s="71" t="s">
        <v>173</v>
      </c>
      <c r="K108" s="71" t="n">
        <v>21</v>
      </c>
      <c r="L108" s="71" t="n">
        <v>78</v>
      </c>
      <c r="M108" s="71" t="n">
        <v>191</v>
      </c>
      <c r="N108" s="71" t="n">
        <v>316</v>
      </c>
      <c r="O108" s="71" t="n">
        <v>603</v>
      </c>
      <c r="P108" s="71" t="n">
        <v>797</v>
      </c>
      <c r="Q108" s="71" t="n">
        <v>127</v>
      </c>
      <c r="R108" s="71" t="n">
        <v>132</v>
      </c>
    </row>
    <row r="109" customFormat="false" ht="15" hidden="false" customHeight="true" outlineLevel="0" collapsed="false">
      <c r="E109" s="70" t="s">
        <v>95</v>
      </c>
      <c r="F109" s="71" t="n">
        <v>2379</v>
      </c>
      <c r="G109" s="71" t="n">
        <v>2379</v>
      </c>
      <c r="H109" s="71" t="n">
        <v>0</v>
      </c>
      <c r="I109" s="71" t="s">
        <v>85</v>
      </c>
      <c r="J109" s="71" t="s">
        <v>173</v>
      </c>
      <c r="K109" s="71" t="n">
        <v>24</v>
      </c>
      <c r="L109" s="71" t="n">
        <v>106</v>
      </c>
      <c r="M109" s="71" t="n">
        <v>207</v>
      </c>
      <c r="N109" s="71" t="n">
        <v>311</v>
      </c>
      <c r="O109" s="71" t="n">
        <v>643</v>
      </c>
      <c r="P109" s="71" t="n">
        <v>991</v>
      </c>
      <c r="Q109" s="71" t="n">
        <v>152</v>
      </c>
      <c r="R109" s="71" t="n">
        <v>127</v>
      </c>
    </row>
    <row r="110" customFormat="false" ht="15" hidden="false" customHeight="true" outlineLevel="0" collapsed="false">
      <c r="E110" s="72" t="s">
        <v>104</v>
      </c>
      <c r="F110" s="73" t="n">
        <v>731</v>
      </c>
      <c r="G110" s="73" t="n">
        <v>731</v>
      </c>
      <c r="H110" s="73" t="n">
        <v>0</v>
      </c>
      <c r="I110" s="73" t="s">
        <v>85</v>
      </c>
      <c r="J110" s="73" t="s">
        <v>174</v>
      </c>
      <c r="K110" s="73" t="n">
        <v>27</v>
      </c>
      <c r="L110" s="73" t="n">
        <v>146</v>
      </c>
      <c r="M110" s="73" t="n">
        <v>267</v>
      </c>
      <c r="N110" s="73" t="n">
        <v>400</v>
      </c>
      <c r="O110" s="73" t="n">
        <v>816</v>
      </c>
      <c r="P110" s="73" t="n">
        <v>1018</v>
      </c>
      <c r="Q110" s="73" t="n">
        <v>185</v>
      </c>
      <c r="R110" s="73" t="n">
        <v>170</v>
      </c>
    </row>
    <row r="111" customFormat="false" ht="15" hidden="false" customHeight="true" outlineLevel="0" collapsed="false">
      <c r="E111" s="70" t="s">
        <v>100</v>
      </c>
      <c r="F111" s="71" t="n">
        <v>731</v>
      </c>
      <c r="G111" s="71" t="n">
        <v>731</v>
      </c>
      <c r="H111" s="71" t="n">
        <v>0</v>
      </c>
      <c r="I111" s="71" t="s">
        <v>85</v>
      </c>
      <c r="J111" s="71" t="s">
        <v>174</v>
      </c>
      <c r="K111" s="71" t="n">
        <v>27</v>
      </c>
      <c r="L111" s="71" t="n">
        <v>146</v>
      </c>
      <c r="M111" s="71" t="n">
        <v>267</v>
      </c>
      <c r="N111" s="71" t="n">
        <v>402</v>
      </c>
      <c r="O111" s="71" t="n">
        <v>812</v>
      </c>
      <c r="P111" s="71" t="n">
        <v>1018</v>
      </c>
      <c r="Q111" s="71" t="n">
        <v>185</v>
      </c>
      <c r="R111" s="71" t="n">
        <v>170</v>
      </c>
    </row>
    <row r="112" customFormat="false" ht="15" hidden="false" customHeight="true" outlineLevel="0" collapsed="false">
      <c r="E112" s="72" t="s">
        <v>106</v>
      </c>
      <c r="F112" s="73" t="n">
        <v>730</v>
      </c>
      <c r="G112" s="73" t="n">
        <v>730</v>
      </c>
      <c r="H112" s="73" t="n">
        <v>0</v>
      </c>
      <c r="I112" s="73" t="s">
        <v>85</v>
      </c>
      <c r="J112" s="73" t="s">
        <v>174</v>
      </c>
      <c r="K112" s="73" t="n">
        <v>28</v>
      </c>
      <c r="L112" s="73" t="n">
        <v>111</v>
      </c>
      <c r="M112" s="73" t="n">
        <v>238</v>
      </c>
      <c r="N112" s="73" t="n">
        <v>366</v>
      </c>
      <c r="O112" s="73" t="n">
        <v>600</v>
      </c>
      <c r="P112" s="73" t="n">
        <v>1450</v>
      </c>
      <c r="Q112" s="73" t="n">
        <v>160</v>
      </c>
      <c r="R112" s="73" t="n">
        <v>161</v>
      </c>
    </row>
    <row r="113" customFormat="false" ht="15" hidden="false" customHeight="true" outlineLevel="0" collapsed="false">
      <c r="E113" s="70" t="s">
        <v>100</v>
      </c>
      <c r="F113" s="71" t="n">
        <v>731</v>
      </c>
      <c r="G113" s="71" t="n">
        <v>731</v>
      </c>
      <c r="H113" s="71" t="n">
        <v>0</v>
      </c>
      <c r="I113" s="71" t="s">
        <v>85</v>
      </c>
      <c r="J113" s="71" t="s">
        <v>174</v>
      </c>
      <c r="K113" s="71" t="n">
        <v>28</v>
      </c>
      <c r="L113" s="71" t="n">
        <v>111</v>
      </c>
      <c r="M113" s="71" t="n">
        <v>237</v>
      </c>
      <c r="N113" s="71" t="n">
        <v>370</v>
      </c>
      <c r="O113" s="71" t="n">
        <v>757</v>
      </c>
      <c r="P113" s="71" t="n">
        <v>1450</v>
      </c>
      <c r="Q113" s="71" t="n">
        <v>160</v>
      </c>
      <c r="R113" s="71" t="n">
        <v>160</v>
      </c>
    </row>
    <row r="114" customFormat="false" ht="15" hidden="false" customHeight="true" outlineLevel="0" collapsed="false">
      <c r="E114" s="72" t="s">
        <v>114</v>
      </c>
      <c r="F114" s="73" t="n">
        <v>729</v>
      </c>
      <c r="G114" s="73" t="n">
        <v>729</v>
      </c>
      <c r="H114" s="73" t="n">
        <v>0</v>
      </c>
      <c r="I114" s="73" t="s">
        <v>85</v>
      </c>
      <c r="J114" s="73" t="s">
        <v>174</v>
      </c>
      <c r="K114" s="73" t="n">
        <v>76</v>
      </c>
      <c r="L114" s="73" t="n">
        <v>297</v>
      </c>
      <c r="M114" s="73" t="n">
        <v>533</v>
      </c>
      <c r="N114" s="73" t="n">
        <v>807</v>
      </c>
      <c r="O114" s="73" t="n">
        <v>1507</v>
      </c>
      <c r="P114" s="73" t="n">
        <v>1861</v>
      </c>
      <c r="Q114" s="73" t="n">
        <v>407</v>
      </c>
      <c r="R114" s="73" t="n">
        <v>304</v>
      </c>
    </row>
    <row r="115" customFormat="false" ht="15" hidden="false" customHeight="true" outlineLevel="0" collapsed="false">
      <c r="E115" s="70" t="s">
        <v>93</v>
      </c>
      <c r="F115" s="71" t="n">
        <v>730</v>
      </c>
      <c r="G115" s="71" t="n">
        <v>730</v>
      </c>
      <c r="H115" s="71" t="n">
        <v>0</v>
      </c>
      <c r="I115" s="71" t="s">
        <v>85</v>
      </c>
      <c r="J115" s="71" t="s">
        <v>174</v>
      </c>
      <c r="K115" s="71" t="n">
        <v>20</v>
      </c>
      <c r="L115" s="71" t="n">
        <v>40</v>
      </c>
      <c r="M115" s="71" t="n">
        <v>131</v>
      </c>
      <c r="N115" s="71" t="n">
        <v>228</v>
      </c>
      <c r="O115" s="71" t="n">
        <v>502</v>
      </c>
      <c r="P115" s="71" t="n">
        <v>766</v>
      </c>
      <c r="Q115" s="71" t="n">
        <v>90</v>
      </c>
      <c r="R115" s="71" t="n">
        <v>103</v>
      </c>
    </row>
    <row r="116" customFormat="false" ht="15" hidden="false" customHeight="true" outlineLevel="0" collapsed="false">
      <c r="E116" s="70" t="s">
        <v>95</v>
      </c>
      <c r="F116" s="71" t="n">
        <v>730</v>
      </c>
      <c r="G116" s="71" t="n">
        <v>730</v>
      </c>
      <c r="H116" s="71" t="n">
        <v>0</v>
      </c>
      <c r="I116" s="71" t="s">
        <v>85</v>
      </c>
      <c r="J116" s="71" t="s">
        <v>174</v>
      </c>
      <c r="K116" s="71" t="n">
        <v>24</v>
      </c>
      <c r="L116" s="71" t="n">
        <v>97</v>
      </c>
      <c r="M116" s="71" t="n">
        <v>187</v>
      </c>
      <c r="N116" s="71" t="n">
        <v>287</v>
      </c>
      <c r="O116" s="71" t="n">
        <v>607</v>
      </c>
      <c r="P116" s="71" t="n">
        <v>913</v>
      </c>
      <c r="Q116" s="71" t="n">
        <v>131</v>
      </c>
      <c r="R116" s="71" t="n">
        <v>115</v>
      </c>
    </row>
    <row r="117" customFormat="false" ht="15" hidden="false" customHeight="true" outlineLevel="0" collapsed="false">
      <c r="E117" s="70" t="s">
        <v>100</v>
      </c>
      <c r="F117" s="71" t="n">
        <v>730</v>
      </c>
      <c r="G117" s="71" t="n">
        <v>730</v>
      </c>
      <c r="H117" s="71" t="n">
        <v>0</v>
      </c>
      <c r="I117" s="71" t="s">
        <v>85</v>
      </c>
      <c r="J117" s="71" t="s">
        <v>174</v>
      </c>
      <c r="K117" s="71" t="n">
        <v>27</v>
      </c>
      <c r="L117" s="71" t="n">
        <v>115</v>
      </c>
      <c r="M117" s="71" t="n">
        <v>204</v>
      </c>
      <c r="N117" s="71" t="n">
        <v>373</v>
      </c>
      <c r="O117" s="71" t="n">
        <v>718</v>
      </c>
      <c r="P117" s="71" t="n">
        <v>898</v>
      </c>
      <c r="Q117" s="71" t="n">
        <v>167</v>
      </c>
      <c r="R117" s="71" t="n">
        <v>136</v>
      </c>
    </row>
    <row r="118" customFormat="false" ht="15" hidden="false" customHeight="true" outlineLevel="0" collapsed="false">
      <c r="E118" s="72" t="s">
        <v>116</v>
      </c>
      <c r="F118" s="73" t="n">
        <v>536</v>
      </c>
      <c r="G118" s="73" t="n">
        <v>536</v>
      </c>
      <c r="H118" s="73" t="n">
        <v>0</v>
      </c>
      <c r="I118" s="73" t="s">
        <v>85</v>
      </c>
      <c r="J118" s="73" t="s">
        <v>175</v>
      </c>
      <c r="K118" s="73" t="n">
        <v>28</v>
      </c>
      <c r="L118" s="73" t="n">
        <v>88</v>
      </c>
      <c r="M118" s="73" t="n">
        <v>224</v>
      </c>
      <c r="N118" s="73" t="n">
        <v>399</v>
      </c>
      <c r="O118" s="73" t="n">
        <v>777</v>
      </c>
      <c r="P118" s="73" t="n">
        <v>971</v>
      </c>
      <c r="Q118" s="73" t="n">
        <v>157</v>
      </c>
      <c r="R118" s="73" t="n">
        <v>168</v>
      </c>
    </row>
    <row r="119" customFormat="false" ht="15" hidden="false" customHeight="true" outlineLevel="0" collapsed="false">
      <c r="E119" s="70" t="s">
        <v>112</v>
      </c>
      <c r="F119" s="71" t="n">
        <v>536</v>
      </c>
      <c r="G119" s="71" t="n">
        <v>536</v>
      </c>
      <c r="H119" s="71" t="n">
        <v>0</v>
      </c>
      <c r="I119" s="71" t="s">
        <v>85</v>
      </c>
      <c r="J119" s="71" t="s">
        <v>175</v>
      </c>
      <c r="K119" s="71" t="n">
        <v>28</v>
      </c>
      <c r="L119" s="71" t="n">
        <v>88</v>
      </c>
      <c r="M119" s="71" t="n">
        <v>224</v>
      </c>
      <c r="N119" s="71" t="n">
        <v>399</v>
      </c>
      <c r="O119" s="71" t="n">
        <v>777</v>
      </c>
      <c r="P119" s="71" t="n">
        <v>971</v>
      </c>
      <c r="Q119" s="71" t="n">
        <v>157</v>
      </c>
      <c r="R119" s="71" t="n">
        <v>168</v>
      </c>
    </row>
    <row r="120" customFormat="false" ht="15" hidden="false" customHeight="true" outlineLevel="0" collapsed="false">
      <c r="E120" s="74" t="s">
        <v>121</v>
      </c>
      <c r="F120" s="75" t="n">
        <f aca="false">F86+F90+F93+F97+F99+F101+F103+F107+F110+F112+F114+F118</f>
        <v>21708</v>
      </c>
    </row>
    <row r="122" customFormat="false" ht="15" hidden="false" customHeight="true" outlineLevel="0" collapsed="false">
      <c r="E122" s="68" t="s">
        <v>176</v>
      </c>
    </row>
    <row r="123" customFormat="false" ht="15" hidden="false" customHeight="true" outlineLevel="0" collapsed="false">
      <c r="E123" s="76" t="s">
        <v>66</v>
      </c>
      <c r="F123" s="76" t="s">
        <v>67</v>
      </c>
      <c r="G123" s="76"/>
      <c r="H123" s="76"/>
      <c r="I123" s="76"/>
      <c r="J123" s="76"/>
      <c r="K123" s="76" t="s">
        <v>68</v>
      </c>
      <c r="L123" s="76"/>
      <c r="M123" s="76"/>
      <c r="N123" s="76"/>
      <c r="O123" s="76"/>
      <c r="P123" s="76"/>
      <c r="Q123" s="76"/>
      <c r="R123" s="76"/>
    </row>
    <row r="124" customFormat="false" ht="15" hidden="false" customHeight="true" outlineLevel="0" collapsed="false">
      <c r="E124" s="76"/>
      <c r="F124" s="76" t="s">
        <v>70</v>
      </c>
      <c r="G124" s="76" t="s">
        <v>71</v>
      </c>
      <c r="H124" s="76" t="s">
        <v>72</v>
      </c>
      <c r="I124" s="76" t="s">
        <v>73</v>
      </c>
      <c r="J124" s="76" t="s">
        <v>74</v>
      </c>
      <c r="K124" s="76" t="s">
        <v>75</v>
      </c>
      <c r="L124" s="76" t="s">
        <v>76</v>
      </c>
      <c r="M124" s="76" t="s">
        <v>77</v>
      </c>
      <c r="N124" s="76" t="s">
        <v>78</v>
      </c>
      <c r="O124" s="76" t="s">
        <v>79</v>
      </c>
      <c r="P124" s="76" t="s">
        <v>80</v>
      </c>
      <c r="Q124" s="76" t="s">
        <v>81</v>
      </c>
      <c r="R124" s="76" t="s">
        <v>82</v>
      </c>
    </row>
    <row r="125" customFormat="false" ht="15" hidden="false" customHeight="true" outlineLevel="0" collapsed="false">
      <c r="E125" s="70" t="s">
        <v>84</v>
      </c>
      <c r="F125" s="71" t="n">
        <v>5556</v>
      </c>
      <c r="G125" s="71" t="n">
        <v>3420</v>
      </c>
      <c r="H125" s="71" t="n">
        <v>2136</v>
      </c>
      <c r="I125" s="71" t="s">
        <v>177</v>
      </c>
      <c r="J125" s="71" t="s">
        <v>178</v>
      </c>
      <c r="K125" s="71" t="n">
        <v>0</v>
      </c>
      <c r="L125" s="71" t="n">
        <v>240</v>
      </c>
      <c r="M125" s="71" t="n">
        <v>60000</v>
      </c>
      <c r="N125" s="71" t="n">
        <v>60001</v>
      </c>
      <c r="O125" s="71" t="n">
        <v>60002</v>
      </c>
      <c r="P125" s="71" t="n">
        <v>60002</v>
      </c>
      <c r="Q125" s="71" t="n">
        <v>20586</v>
      </c>
      <c r="R125" s="71" t="n">
        <v>27871</v>
      </c>
    </row>
    <row r="126" customFormat="false" ht="15" hidden="false" customHeight="true" outlineLevel="0" collapsed="false">
      <c r="E126" s="72" t="s">
        <v>88</v>
      </c>
      <c r="F126" s="73" t="n">
        <v>679</v>
      </c>
      <c r="G126" s="73" t="n">
        <v>287</v>
      </c>
      <c r="H126" s="73" t="n">
        <v>392</v>
      </c>
      <c r="I126" s="73" t="s">
        <v>179</v>
      </c>
      <c r="J126" s="73" t="s">
        <v>175</v>
      </c>
      <c r="K126" s="73" t="n">
        <v>48</v>
      </c>
      <c r="L126" s="73" t="n">
        <v>91213</v>
      </c>
      <c r="M126" s="73" t="n">
        <v>180001</v>
      </c>
      <c r="N126" s="73" t="n">
        <v>180002</v>
      </c>
      <c r="O126" s="73" t="n">
        <v>180003</v>
      </c>
      <c r="P126" s="73" t="n">
        <v>180004</v>
      </c>
      <c r="Q126" s="73" t="n">
        <v>86606</v>
      </c>
      <c r="R126" s="73" t="n">
        <v>81450</v>
      </c>
    </row>
    <row r="127" customFormat="false" ht="15" hidden="false" customHeight="true" outlineLevel="0" collapsed="false">
      <c r="E127" s="70" t="s">
        <v>91</v>
      </c>
      <c r="F127" s="71" t="n">
        <v>679</v>
      </c>
      <c r="G127" s="71" t="n">
        <v>300</v>
      </c>
      <c r="H127" s="71" t="n">
        <v>379</v>
      </c>
      <c r="I127" s="71" t="s">
        <v>180</v>
      </c>
      <c r="J127" s="71" t="s">
        <v>175</v>
      </c>
      <c r="K127" s="71" t="n">
        <v>0</v>
      </c>
      <c r="L127" s="71" t="n">
        <v>41132</v>
      </c>
      <c r="M127" s="71" t="n">
        <v>60001</v>
      </c>
      <c r="N127" s="71" t="n">
        <v>60001</v>
      </c>
      <c r="O127" s="71" t="n">
        <v>60002</v>
      </c>
      <c r="P127" s="71" t="n">
        <v>60002</v>
      </c>
      <c r="Q127" s="71" t="n">
        <v>31753</v>
      </c>
      <c r="R127" s="71" t="n">
        <v>29623</v>
      </c>
    </row>
    <row r="128" customFormat="false" ht="15" hidden="false" customHeight="true" outlineLevel="0" collapsed="false">
      <c r="E128" s="70" t="s">
        <v>93</v>
      </c>
      <c r="F128" s="71" t="n">
        <v>672</v>
      </c>
      <c r="G128" s="71" t="n">
        <v>288</v>
      </c>
      <c r="H128" s="71" t="n">
        <v>384</v>
      </c>
      <c r="I128" s="71" t="s">
        <v>181</v>
      </c>
      <c r="J128" s="71" t="s">
        <v>175</v>
      </c>
      <c r="K128" s="71" t="n">
        <v>21</v>
      </c>
      <c r="L128" s="71" t="n">
        <v>29464</v>
      </c>
      <c r="M128" s="71" t="n">
        <v>60001</v>
      </c>
      <c r="N128" s="71" t="n">
        <v>60001</v>
      </c>
      <c r="O128" s="71" t="n">
        <v>60001</v>
      </c>
      <c r="P128" s="71" t="n">
        <v>60002</v>
      </c>
      <c r="Q128" s="71" t="n">
        <v>31021</v>
      </c>
      <c r="R128" s="71" t="n">
        <v>29336</v>
      </c>
    </row>
    <row r="129" customFormat="false" ht="15" hidden="false" customHeight="true" outlineLevel="0" collapsed="false">
      <c r="E129" s="70" t="s">
        <v>95</v>
      </c>
      <c r="F129" s="71" t="n">
        <v>602</v>
      </c>
      <c r="G129" s="71" t="n">
        <v>287</v>
      </c>
      <c r="H129" s="71" t="n">
        <v>315</v>
      </c>
      <c r="I129" s="71" t="s">
        <v>182</v>
      </c>
      <c r="J129" s="71" t="s">
        <v>183</v>
      </c>
      <c r="K129" s="71" t="n">
        <v>25</v>
      </c>
      <c r="L129" s="71" t="n">
        <v>8644</v>
      </c>
      <c r="M129" s="71" t="n">
        <v>60000</v>
      </c>
      <c r="N129" s="71" t="n">
        <v>60001</v>
      </c>
      <c r="O129" s="71" t="n">
        <v>60002</v>
      </c>
      <c r="P129" s="71" t="n">
        <v>60002</v>
      </c>
      <c r="Q129" s="71" t="n">
        <v>27228</v>
      </c>
      <c r="R129" s="71" t="n">
        <v>29015</v>
      </c>
    </row>
    <row r="130" customFormat="false" ht="15" hidden="false" customHeight="true" outlineLevel="0" collapsed="false">
      <c r="E130" s="72" t="s">
        <v>97</v>
      </c>
      <c r="F130" s="73" t="n">
        <v>497</v>
      </c>
      <c r="G130" s="73" t="n">
        <v>219</v>
      </c>
      <c r="H130" s="73" t="n">
        <v>278</v>
      </c>
      <c r="I130" s="73" t="s">
        <v>184</v>
      </c>
      <c r="J130" s="73" t="s">
        <v>111</v>
      </c>
      <c r="K130" s="73" t="n">
        <v>136</v>
      </c>
      <c r="L130" s="73" t="n">
        <v>23983</v>
      </c>
      <c r="M130" s="73" t="n">
        <v>120000</v>
      </c>
      <c r="N130" s="73" t="n">
        <v>120002</v>
      </c>
      <c r="O130" s="73" t="n">
        <v>131669</v>
      </c>
      <c r="P130" s="73" t="n">
        <v>180003</v>
      </c>
      <c r="Q130" s="73" t="n">
        <v>47086</v>
      </c>
      <c r="R130" s="73" t="n">
        <v>50133</v>
      </c>
    </row>
    <row r="131" customFormat="false" ht="15" hidden="false" customHeight="true" outlineLevel="0" collapsed="false">
      <c r="E131" s="70" t="s">
        <v>100</v>
      </c>
      <c r="F131" s="71" t="n">
        <v>625</v>
      </c>
      <c r="G131" s="71" t="n">
        <v>449</v>
      </c>
      <c r="H131" s="71" t="n">
        <v>176</v>
      </c>
      <c r="I131" s="71" t="s">
        <v>185</v>
      </c>
      <c r="J131" s="71" t="s">
        <v>183</v>
      </c>
      <c r="K131" s="71" t="n">
        <v>25</v>
      </c>
      <c r="L131" s="71" t="n">
        <v>247</v>
      </c>
      <c r="M131" s="71" t="n">
        <v>9569</v>
      </c>
      <c r="N131" s="71" t="n">
        <v>60001</v>
      </c>
      <c r="O131" s="71" t="n">
        <v>60001</v>
      </c>
      <c r="P131" s="71" t="n">
        <v>60002</v>
      </c>
      <c r="Q131" s="71" t="n">
        <v>14175</v>
      </c>
      <c r="R131" s="71" t="n">
        <v>24464</v>
      </c>
    </row>
    <row r="132" customFormat="false" ht="15" hidden="false" customHeight="true" outlineLevel="0" collapsed="false">
      <c r="E132" s="70" t="s">
        <v>95</v>
      </c>
      <c r="F132" s="71" t="n">
        <v>495</v>
      </c>
      <c r="G132" s="71" t="n">
        <v>224</v>
      </c>
      <c r="H132" s="71" t="n">
        <v>271</v>
      </c>
      <c r="I132" s="71" t="s">
        <v>186</v>
      </c>
      <c r="J132" s="71" t="s">
        <v>111</v>
      </c>
      <c r="K132" s="71" t="n">
        <v>24</v>
      </c>
      <c r="L132" s="71" t="n">
        <v>12880</v>
      </c>
      <c r="M132" s="71" t="n">
        <v>60001</v>
      </c>
      <c r="N132" s="71" t="n">
        <v>60001</v>
      </c>
      <c r="O132" s="71" t="n">
        <v>60002</v>
      </c>
      <c r="P132" s="71" t="n">
        <v>60002</v>
      </c>
      <c r="Q132" s="71" t="n">
        <v>29366</v>
      </c>
      <c r="R132" s="71" t="n">
        <v>29110</v>
      </c>
    </row>
    <row r="133" customFormat="false" ht="15" hidden="false" customHeight="true" outlineLevel="0" collapsed="false">
      <c r="E133" s="72" t="s">
        <v>104</v>
      </c>
      <c r="F133" s="73" t="n">
        <v>83</v>
      </c>
      <c r="G133" s="73" t="n">
        <v>54</v>
      </c>
      <c r="H133" s="73" t="n">
        <v>29</v>
      </c>
      <c r="I133" s="73" t="s">
        <v>187</v>
      </c>
      <c r="J133" s="73" t="s">
        <v>164</v>
      </c>
      <c r="K133" s="73" t="n">
        <v>27</v>
      </c>
      <c r="L133" s="73" t="n">
        <v>140</v>
      </c>
      <c r="M133" s="73" t="n">
        <v>60000</v>
      </c>
      <c r="N133" s="73" t="n">
        <v>60001</v>
      </c>
      <c r="O133" s="73" t="n">
        <v>60001</v>
      </c>
      <c r="P133" s="73" t="n">
        <v>60001</v>
      </c>
      <c r="Q133" s="73" t="n">
        <v>18637</v>
      </c>
      <c r="R133" s="73" t="n">
        <v>27237</v>
      </c>
    </row>
    <row r="134" customFormat="false" ht="15" hidden="false" customHeight="true" outlineLevel="0" collapsed="false">
      <c r="E134" s="70" t="s">
        <v>100</v>
      </c>
      <c r="F134" s="71" t="n">
        <v>83</v>
      </c>
      <c r="G134" s="71" t="n">
        <v>54</v>
      </c>
      <c r="H134" s="71" t="n">
        <v>29</v>
      </c>
      <c r="I134" s="71" t="s">
        <v>187</v>
      </c>
      <c r="J134" s="71" t="s">
        <v>164</v>
      </c>
      <c r="K134" s="71" t="n">
        <v>27</v>
      </c>
      <c r="L134" s="71" t="n">
        <v>140</v>
      </c>
      <c r="M134" s="71" t="n">
        <v>60000</v>
      </c>
      <c r="N134" s="71" t="n">
        <v>60001</v>
      </c>
      <c r="O134" s="71" t="n">
        <v>60001</v>
      </c>
      <c r="P134" s="71" t="n">
        <v>60001</v>
      </c>
      <c r="Q134" s="71" t="n">
        <v>18637</v>
      </c>
      <c r="R134" s="71" t="n">
        <v>27237</v>
      </c>
    </row>
    <row r="135" customFormat="false" ht="15" hidden="false" customHeight="true" outlineLevel="0" collapsed="false">
      <c r="E135" s="72" t="s">
        <v>106</v>
      </c>
      <c r="F135" s="73" t="n">
        <v>72</v>
      </c>
      <c r="G135" s="73" t="n">
        <v>54</v>
      </c>
      <c r="H135" s="73" t="n">
        <v>18</v>
      </c>
      <c r="I135" s="73" t="s">
        <v>188</v>
      </c>
      <c r="J135" s="73" t="s">
        <v>164</v>
      </c>
      <c r="K135" s="73" t="n">
        <v>28</v>
      </c>
      <c r="L135" s="73" t="n">
        <v>44</v>
      </c>
      <c r="M135" s="73" t="n">
        <v>10001</v>
      </c>
      <c r="N135" s="73" t="n">
        <v>60001</v>
      </c>
      <c r="O135" s="73" t="n">
        <v>60002</v>
      </c>
      <c r="P135" s="73" t="n">
        <v>60002</v>
      </c>
      <c r="Q135" s="73" t="n">
        <v>13030</v>
      </c>
      <c r="R135" s="73" t="n">
        <v>23576</v>
      </c>
    </row>
    <row r="136" customFormat="false" ht="15" hidden="false" customHeight="true" outlineLevel="0" collapsed="false">
      <c r="E136" s="70" t="s">
        <v>100</v>
      </c>
      <c r="F136" s="71" t="n">
        <v>72</v>
      </c>
      <c r="G136" s="71" t="n">
        <v>54</v>
      </c>
      <c r="H136" s="71" t="n">
        <v>18</v>
      </c>
      <c r="I136" s="71" t="s">
        <v>188</v>
      </c>
      <c r="J136" s="71" t="s">
        <v>164</v>
      </c>
      <c r="K136" s="71" t="n">
        <v>28</v>
      </c>
      <c r="L136" s="71" t="n">
        <v>44</v>
      </c>
      <c r="M136" s="71" t="n">
        <v>10001</v>
      </c>
      <c r="N136" s="71" t="n">
        <v>60001</v>
      </c>
      <c r="O136" s="71" t="n">
        <v>60002</v>
      </c>
      <c r="P136" s="71" t="n">
        <v>60002</v>
      </c>
      <c r="Q136" s="71" t="n">
        <v>13030</v>
      </c>
      <c r="R136" s="71" t="n">
        <v>23576</v>
      </c>
    </row>
    <row r="137" customFormat="false" ht="15" hidden="false" customHeight="true" outlineLevel="0" collapsed="false">
      <c r="E137" s="72" t="s">
        <v>107</v>
      </c>
      <c r="F137" s="73" t="n">
        <v>277</v>
      </c>
      <c r="G137" s="73" t="n">
        <v>152</v>
      </c>
      <c r="H137" s="73" t="n">
        <v>125</v>
      </c>
      <c r="I137" s="73" t="s">
        <v>189</v>
      </c>
      <c r="J137" s="73" t="s">
        <v>120</v>
      </c>
      <c r="K137" s="73" t="n">
        <v>75</v>
      </c>
      <c r="L137" s="73" t="n">
        <v>919</v>
      </c>
      <c r="M137" s="73" t="n">
        <v>120001</v>
      </c>
      <c r="N137" s="73" t="n">
        <v>178558</v>
      </c>
      <c r="O137" s="73" t="n">
        <v>180003</v>
      </c>
      <c r="P137" s="73" t="n">
        <v>180003</v>
      </c>
      <c r="Q137" s="73" t="n">
        <v>54192</v>
      </c>
      <c r="R137" s="73" t="n">
        <v>67956</v>
      </c>
    </row>
    <row r="138" customFormat="false" ht="15" hidden="false" customHeight="true" outlineLevel="0" collapsed="false">
      <c r="E138" s="70" t="s">
        <v>93</v>
      </c>
      <c r="F138" s="71" t="n">
        <v>277</v>
      </c>
      <c r="G138" s="71" t="n">
        <v>158</v>
      </c>
      <c r="H138" s="71" t="n">
        <v>119</v>
      </c>
      <c r="I138" s="71" t="s">
        <v>190</v>
      </c>
      <c r="J138" s="71" t="s">
        <v>120</v>
      </c>
      <c r="K138" s="71" t="n">
        <v>19</v>
      </c>
      <c r="L138" s="71" t="n">
        <v>358</v>
      </c>
      <c r="M138" s="71" t="n">
        <v>60000</v>
      </c>
      <c r="N138" s="71" t="n">
        <v>60001</v>
      </c>
      <c r="O138" s="71" t="n">
        <v>60002</v>
      </c>
      <c r="P138" s="71" t="n">
        <v>60002</v>
      </c>
      <c r="Q138" s="71" t="n">
        <v>21834</v>
      </c>
      <c r="R138" s="71" t="n">
        <v>27956</v>
      </c>
    </row>
    <row r="139" customFormat="false" ht="15" hidden="false" customHeight="true" outlineLevel="0" collapsed="false">
      <c r="E139" s="70" t="s">
        <v>95</v>
      </c>
      <c r="F139" s="71" t="n">
        <v>273</v>
      </c>
      <c r="G139" s="71" t="n">
        <v>153</v>
      </c>
      <c r="H139" s="71" t="n">
        <v>120</v>
      </c>
      <c r="I139" s="71" t="s">
        <v>191</v>
      </c>
      <c r="J139" s="71" t="s">
        <v>192</v>
      </c>
      <c r="K139" s="71" t="n">
        <v>24</v>
      </c>
      <c r="L139" s="71" t="n">
        <v>347</v>
      </c>
      <c r="M139" s="71" t="n">
        <v>60000</v>
      </c>
      <c r="N139" s="71" t="n">
        <v>60001</v>
      </c>
      <c r="O139" s="71" t="n">
        <v>60001</v>
      </c>
      <c r="P139" s="71" t="n">
        <v>60002</v>
      </c>
      <c r="Q139" s="71" t="n">
        <v>23569</v>
      </c>
      <c r="R139" s="71" t="n">
        <v>28673</v>
      </c>
    </row>
    <row r="140" customFormat="false" ht="15" hidden="false" customHeight="true" outlineLevel="0" collapsed="false">
      <c r="E140" s="70" t="s">
        <v>109</v>
      </c>
      <c r="F140" s="71" t="n">
        <v>197</v>
      </c>
      <c r="G140" s="71" t="n">
        <v>152</v>
      </c>
      <c r="H140" s="71" t="n">
        <v>45</v>
      </c>
      <c r="I140" s="71" t="s">
        <v>193</v>
      </c>
      <c r="J140" s="71" t="s">
        <v>105</v>
      </c>
      <c r="K140" s="71" t="n">
        <v>29</v>
      </c>
      <c r="L140" s="71" t="n">
        <v>193</v>
      </c>
      <c r="M140" s="71" t="n">
        <v>528</v>
      </c>
      <c r="N140" s="71" t="n">
        <v>60001</v>
      </c>
      <c r="O140" s="71" t="n">
        <v>60001</v>
      </c>
      <c r="P140" s="71" t="n">
        <v>60002</v>
      </c>
      <c r="Q140" s="71" t="n">
        <v>12836</v>
      </c>
      <c r="R140" s="71" t="n">
        <v>24219</v>
      </c>
    </row>
    <row r="141" customFormat="false" ht="15" hidden="false" customHeight="true" outlineLevel="0" collapsed="false">
      <c r="E141" s="72" t="s">
        <v>113</v>
      </c>
      <c r="F141" s="73" t="n">
        <v>216</v>
      </c>
      <c r="G141" s="73" t="n">
        <v>163</v>
      </c>
      <c r="H141" s="73" t="n">
        <v>53</v>
      </c>
      <c r="I141" s="73" t="s">
        <v>194</v>
      </c>
      <c r="J141" s="73" t="s">
        <v>192</v>
      </c>
      <c r="K141" s="73" t="n">
        <v>46</v>
      </c>
      <c r="L141" s="73" t="n">
        <v>143</v>
      </c>
      <c r="M141" s="73" t="n">
        <v>10854</v>
      </c>
      <c r="N141" s="73" t="n">
        <v>120001</v>
      </c>
      <c r="O141" s="73" t="n">
        <v>120002</v>
      </c>
      <c r="P141" s="73" t="n">
        <v>120002</v>
      </c>
      <c r="Q141" s="73" t="n">
        <v>24237</v>
      </c>
      <c r="R141" s="73" t="n">
        <v>46724</v>
      </c>
    </row>
    <row r="142" customFormat="false" ht="15" hidden="false" customHeight="true" outlineLevel="0" collapsed="false">
      <c r="E142" s="70" t="s">
        <v>93</v>
      </c>
      <c r="F142" s="71" t="n">
        <v>216</v>
      </c>
      <c r="G142" s="71" t="n">
        <v>163</v>
      </c>
      <c r="H142" s="71" t="n">
        <v>53</v>
      </c>
      <c r="I142" s="71" t="s">
        <v>194</v>
      </c>
      <c r="J142" s="71" t="s">
        <v>192</v>
      </c>
      <c r="K142" s="71" t="n">
        <v>21</v>
      </c>
      <c r="L142" s="71" t="n">
        <v>28</v>
      </c>
      <c r="M142" s="71" t="n">
        <v>6769</v>
      </c>
      <c r="N142" s="71" t="n">
        <v>60001</v>
      </c>
      <c r="O142" s="71" t="n">
        <v>60001</v>
      </c>
      <c r="P142" s="71" t="n">
        <v>60001</v>
      </c>
      <c r="Q142" s="71" t="n">
        <v>12248</v>
      </c>
      <c r="R142" s="71" t="n">
        <v>23561</v>
      </c>
    </row>
    <row r="143" customFormat="false" ht="15" hidden="false" customHeight="true" outlineLevel="0" collapsed="false">
      <c r="E143" s="70" t="s">
        <v>95</v>
      </c>
      <c r="F143" s="71" t="n">
        <v>215</v>
      </c>
      <c r="G143" s="71" t="n">
        <v>163</v>
      </c>
      <c r="H143" s="71" t="n">
        <v>52</v>
      </c>
      <c r="I143" s="71" t="s">
        <v>195</v>
      </c>
      <c r="J143" s="71" t="s">
        <v>192</v>
      </c>
      <c r="K143" s="71" t="n">
        <v>24</v>
      </c>
      <c r="L143" s="71" t="n">
        <v>93</v>
      </c>
      <c r="M143" s="71" t="n">
        <v>5366</v>
      </c>
      <c r="N143" s="71" t="n">
        <v>60001</v>
      </c>
      <c r="O143" s="71" t="n">
        <v>60001</v>
      </c>
      <c r="P143" s="71" t="n">
        <v>60001</v>
      </c>
      <c r="Q143" s="71" t="n">
        <v>12045</v>
      </c>
      <c r="R143" s="71" t="n">
        <v>23379</v>
      </c>
    </row>
    <row r="144" customFormat="false" ht="15" hidden="false" customHeight="true" outlineLevel="0" collapsed="false">
      <c r="E144" s="72" t="s">
        <v>110</v>
      </c>
      <c r="F144" s="73" t="n">
        <v>186</v>
      </c>
      <c r="G144" s="73" t="n">
        <v>141</v>
      </c>
      <c r="H144" s="73" t="n">
        <v>45</v>
      </c>
      <c r="I144" s="73" t="s">
        <v>195</v>
      </c>
      <c r="J144" s="73" t="s">
        <v>105</v>
      </c>
      <c r="K144" s="73" t="n">
        <v>74</v>
      </c>
      <c r="L144" s="73" t="n">
        <v>401</v>
      </c>
      <c r="M144" s="73" t="n">
        <v>1306</v>
      </c>
      <c r="N144" s="73" t="n">
        <v>180002</v>
      </c>
      <c r="O144" s="73" t="n">
        <v>180003</v>
      </c>
      <c r="P144" s="73" t="n">
        <v>180003</v>
      </c>
      <c r="Q144" s="73" t="n">
        <v>32938</v>
      </c>
      <c r="R144" s="73" t="n">
        <v>64507</v>
      </c>
    </row>
    <row r="145" customFormat="false" ht="15" hidden="false" customHeight="true" outlineLevel="0" collapsed="false">
      <c r="E145" s="70" t="s">
        <v>93</v>
      </c>
      <c r="F145" s="71" t="n">
        <v>186</v>
      </c>
      <c r="G145" s="71" t="n">
        <v>142</v>
      </c>
      <c r="H145" s="71" t="n">
        <v>44</v>
      </c>
      <c r="I145" s="71" t="s">
        <v>196</v>
      </c>
      <c r="J145" s="71" t="s">
        <v>105</v>
      </c>
      <c r="K145" s="71" t="n">
        <v>19</v>
      </c>
      <c r="L145" s="71" t="n">
        <v>76</v>
      </c>
      <c r="M145" s="71" t="n">
        <v>3348</v>
      </c>
      <c r="N145" s="71" t="n">
        <v>60001</v>
      </c>
      <c r="O145" s="71" t="n">
        <v>60001</v>
      </c>
      <c r="P145" s="71" t="n">
        <v>60001</v>
      </c>
      <c r="Q145" s="71" t="n">
        <v>12107</v>
      </c>
      <c r="R145" s="71" t="n">
        <v>23549</v>
      </c>
    </row>
    <row r="146" customFormat="false" ht="15" hidden="false" customHeight="true" outlineLevel="0" collapsed="false">
      <c r="E146" s="70" t="s">
        <v>112</v>
      </c>
      <c r="F146" s="71" t="n">
        <v>183</v>
      </c>
      <c r="G146" s="71" t="n">
        <v>141</v>
      </c>
      <c r="H146" s="71" t="n">
        <v>42</v>
      </c>
      <c r="I146" s="71" t="s">
        <v>197</v>
      </c>
      <c r="J146" s="71" t="s">
        <v>105</v>
      </c>
      <c r="K146" s="71" t="n">
        <v>28</v>
      </c>
      <c r="L146" s="71" t="n">
        <v>158</v>
      </c>
      <c r="M146" s="71" t="n">
        <v>507</v>
      </c>
      <c r="N146" s="71" t="n">
        <v>60001</v>
      </c>
      <c r="O146" s="71" t="n">
        <v>60001</v>
      </c>
      <c r="P146" s="71" t="n">
        <v>60001</v>
      </c>
      <c r="Q146" s="71" t="n">
        <v>12470</v>
      </c>
      <c r="R146" s="71" t="n">
        <v>23971</v>
      </c>
    </row>
    <row r="147" customFormat="false" ht="15" hidden="false" customHeight="true" outlineLevel="0" collapsed="false">
      <c r="E147" s="70" t="s">
        <v>95</v>
      </c>
      <c r="F147" s="71" t="n">
        <v>169</v>
      </c>
      <c r="G147" s="71" t="n">
        <v>142</v>
      </c>
      <c r="H147" s="71" t="n">
        <v>27</v>
      </c>
      <c r="I147" s="71" t="s">
        <v>198</v>
      </c>
      <c r="J147" s="71" t="s">
        <v>105</v>
      </c>
      <c r="K147" s="71" t="n">
        <v>24</v>
      </c>
      <c r="L147" s="71" t="n">
        <v>127</v>
      </c>
      <c r="M147" s="71" t="n">
        <v>351</v>
      </c>
      <c r="N147" s="71" t="n">
        <v>60001</v>
      </c>
      <c r="O147" s="71" t="n">
        <v>60001</v>
      </c>
      <c r="P147" s="71" t="n">
        <v>60001</v>
      </c>
      <c r="Q147" s="71" t="n">
        <v>9417</v>
      </c>
      <c r="R147" s="71" t="n">
        <v>21582</v>
      </c>
    </row>
    <row r="148" customFormat="false" ht="15" hidden="false" customHeight="true" outlineLevel="0" collapsed="false">
      <c r="E148" s="72" t="s">
        <v>114</v>
      </c>
      <c r="F148" s="73" t="n">
        <v>72</v>
      </c>
      <c r="G148" s="73" t="n">
        <v>50</v>
      </c>
      <c r="H148" s="73" t="n">
        <v>22</v>
      </c>
      <c r="I148" s="73" t="s">
        <v>199</v>
      </c>
      <c r="J148" s="73" t="s">
        <v>164</v>
      </c>
      <c r="K148" s="73" t="n">
        <v>81</v>
      </c>
      <c r="L148" s="73" t="n">
        <v>273</v>
      </c>
      <c r="M148" s="73" t="n">
        <v>120001</v>
      </c>
      <c r="N148" s="73" t="n">
        <v>180002</v>
      </c>
      <c r="O148" s="73" t="n">
        <v>180003</v>
      </c>
      <c r="P148" s="73" t="n">
        <v>180003</v>
      </c>
      <c r="Q148" s="73" t="n">
        <v>40726</v>
      </c>
      <c r="R148" s="73" t="n">
        <v>66735</v>
      </c>
    </row>
    <row r="149" customFormat="false" ht="15" hidden="false" customHeight="true" outlineLevel="0" collapsed="false">
      <c r="E149" s="70" t="s">
        <v>93</v>
      </c>
      <c r="F149" s="71" t="n">
        <v>72</v>
      </c>
      <c r="G149" s="71" t="n">
        <v>52</v>
      </c>
      <c r="H149" s="71" t="n">
        <v>20</v>
      </c>
      <c r="I149" s="71" t="s">
        <v>200</v>
      </c>
      <c r="J149" s="71" t="s">
        <v>164</v>
      </c>
      <c r="K149" s="71" t="n">
        <v>20</v>
      </c>
      <c r="L149" s="71" t="n">
        <v>85</v>
      </c>
      <c r="M149" s="71" t="n">
        <v>10002</v>
      </c>
      <c r="N149" s="71" t="n">
        <v>60001</v>
      </c>
      <c r="O149" s="71" t="n">
        <v>60001</v>
      </c>
      <c r="P149" s="71" t="n">
        <v>60001</v>
      </c>
      <c r="Q149" s="71" t="n">
        <v>14734</v>
      </c>
      <c r="R149" s="71" t="n">
        <v>25248</v>
      </c>
    </row>
    <row r="150" customFormat="false" ht="15" hidden="false" customHeight="true" outlineLevel="0" collapsed="false">
      <c r="E150" s="70" t="s">
        <v>95</v>
      </c>
      <c r="F150" s="71" t="n">
        <v>72</v>
      </c>
      <c r="G150" s="71" t="n">
        <v>50</v>
      </c>
      <c r="H150" s="71" t="n">
        <v>22</v>
      </c>
      <c r="I150" s="71" t="s">
        <v>199</v>
      </c>
      <c r="J150" s="71" t="s">
        <v>164</v>
      </c>
      <c r="K150" s="71" t="n">
        <v>24</v>
      </c>
      <c r="L150" s="71" t="n">
        <v>97</v>
      </c>
      <c r="M150" s="71" t="n">
        <v>60000</v>
      </c>
      <c r="N150" s="71" t="n">
        <v>60001</v>
      </c>
      <c r="O150" s="71" t="n">
        <v>60001</v>
      </c>
      <c r="P150" s="71" t="n">
        <v>60001</v>
      </c>
      <c r="Q150" s="71" t="n">
        <v>16324</v>
      </c>
      <c r="R150" s="71" t="n">
        <v>26225</v>
      </c>
    </row>
    <row r="151" customFormat="false" ht="15" hidden="false" customHeight="true" outlineLevel="0" collapsed="false">
      <c r="E151" s="70" t="s">
        <v>100</v>
      </c>
      <c r="F151" s="71" t="n">
        <v>64</v>
      </c>
      <c r="G151" s="71" t="n">
        <v>50</v>
      </c>
      <c r="H151" s="71" t="n">
        <v>14</v>
      </c>
      <c r="I151" s="71" t="s">
        <v>201</v>
      </c>
      <c r="J151" s="71" t="s">
        <v>164</v>
      </c>
      <c r="K151" s="71" t="n">
        <v>27</v>
      </c>
      <c r="L151" s="71" t="n">
        <v>103</v>
      </c>
      <c r="M151" s="71" t="n">
        <v>403</v>
      </c>
      <c r="N151" s="71" t="n">
        <v>60001</v>
      </c>
      <c r="O151" s="71" t="n">
        <v>60001</v>
      </c>
      <c r="P151" s="71" t="n">
        <v>60001</v>
      </c>
      <c r="Q151" s="71" t="n">
        <v>10864</v>
      </c>
      <c r="R151" s="71" t="n">
        <v>22482</v>
      </c>
    </row>
    <row r="152" customFormat="false" ht="15" hidden="false" customHeight="true" outlineLevel="0" collapsed="false">
      <c r="E152" s="72" t="s">
        <v>115</v>
      </c>
      <c r="F152" s="73" t="n">
        <v>175</v>
      </c>
      <c r="G152" s="73" t="n">
        <v>136</v>
      </c>
      <c r="H152" s="73" t="n">
        <v>39</v>
      </c>
      <c r="I152" s="73" t="s">
        <v>202</v>
      </c>
      <c r="J152" s="73" t="s">
        <v>105</v>
      </c>
      <c r="K152" s="73" t="n">
        <v>0</v>
      </c>
      <c r="L152" s="73" t="n">
        <v>31</v>
      </c>
      <c r="M152" s="73" t="n">
        <v>46</v>
      </c>
      <c r="N152" s="73" t="n">
        <v>148</v>
      </c>
      <c r="O152" s="73" t="n">
        <v>55042</v>
      </c>
      <c r="P152" s="73" t="n">
        <v>60001</v>
      </c>
      <c r="Q152" s="73" t="n">
        <v>1768</v>
      </c>
      <c r="R152" s="73" t="n">
        <v>9987</v>
      </c>
    </row>
    <row r="153" customFormat="false" ht="15" hidden="false" customHeight="true" outlineLevel="0" collapsed="false">
      <c r="E153" s="70" t="s">
        <v>109</v>
      </c>
      <c r="F153" s="71" t="n">
        <v>141</v>
      </c>
      <c r="G153" s="71" t="n">
        <v>136</v>
      </c>
      <c r="H153" s="71" t="n">
        <v>5</v>
      </c>
      <c r="I153" s="71" t="s">
        <v>203</v>
      </c>
      <c r="J153" s="71" t="s">
        <v>117</v>
      </c>
      <c r="K153" s="71" t="n">
        <v>29</v>
      </c>
      <c r="L153" s="71" t="n">
        <v>31</v>
      </c>
      <c r="M153" s="71" t="n">
        <v>80</v>
      </c>
      <c r="N153" s="71" t="n">
        <v>198</v>
      </c>
      <c r="O153" s="71" t="n">
        <v>57969</v>
      </c>
      <c r="P153" s="71" t="n">
        <v>60001</v>
      </c>
      <c r="Q153" s="71" t="n">
        <v>2195</v>
      </c>
      <c r="R153" s="71" t="n">
        <v>11084</v>
      </c>
    </row>
    <row r="154" customFormat="false" ht="15" hidden="false" customHeight="true" outlineLevel="0" collapsed="false">
      <c r="E154" s="72" t="s">
        <v>116</v>
      </c>
      <c r="F154" s="73" t="n">
        <v>44</v>
      </c>
      <c r="G154" s="73" t="n">
        <v>38</v>
      </c>
      <c r="H154" s="73" t="n">
        <v>6</v>
      </c>
      <c r="I154" s="73" t="s">
        <v>204</v>
      </c>
      <c r="J154" s="73" t="s">
        <v>164</v>
      </c>
      <c r="K154" s="73" t="n">
        <v>0</v>
      </c>
      <c r="L154" s="73" t="n">
        <v>30</v>
      </c>
      <c r="M154" s="73" t="n">
        <v>31</v>
      </c>
      <c r="N154" s="73" t="n">
        <v>266</v>
      </c>
      <c r="O154" s="73" t="n">
        <v>1140</v>
      </c>
      <c r="P154" s="73" t="n">
        <v>1140</v>
      </c>
      <c r="Q154" s="73" t="n">
        <v>105</v>
      </c>
      <c r="R154" s="73" t="n">
        <v>212</v>
      </c>
    </row>
    <row r="155" customFormat="false" ht="15" hidden="false" customHeight="true" outlineLevel="0" collapsed="false">
      <c r="E155" s="70" t="s">
        <v>112</v>
      </c>
      <c r="F155" s="71" t="n">
        <v>38</v>
      </c>
      <c r="G155" s="71" t="n">
        <v>38</v>
      </c>
      <c r="H155" s="71" t="n">
        <v>0</v>
      </c>
      <c r="I155" s="71" t="s">
        <v>85</v>
      </c>
      <c r="J155" s="71" t="s">
        <v>164</v>
      </c>
      <c r="K155" s="71" t="n">
        <v>28</v>
      </c>
      <c r="L155" s="71" t="n">
        <v>30</v>
      </c>
      <c r="M155" s="71" t="n">
        <v>45</v>
      </c>
      <c r="N155" s="71" t="n">
        <v>408</v>
      </c>
      <c r="O155" s="71" t="n">
        <v>1140</v>
      </c>
      <c r="P155" s="71" t="n">
        <v>1140</v>
      </c>
      <c r="Q155" s="71" t="n">
        <v>122</v>
      </c>
      <c r="R155" s="71" t="n">
        <v>224</v>
      </c>
    </row>
    <row r="156" customFormat="false" ht="15" hidden="false" customHeight="true" outlineLevel="0" collapsed="false">
      <c r="E156" s="72" t="s">
        <v>118</v>
      </c>
      <c r="F156" s="73" t="n">
        <v>171</v>
      </c>
      <c r="G156" s="73" t="n">
        <v>136</v>
      </c>
      <c r="H156" s="73" t="n">
        <v>35</v>
      </c>
      <c r="I156" s="73" t="s">
        <v>205</v>
      </c>
      <c r="J156" s="73" t="s">
        <v>105</v>
      </c>
      <c r="K156" s="73" t="n">
        <v>0</v>
      </c>
      <c r="L156" s="73" t="n">
        <v>31</v>
      </c>
      <c r="M156" s="73" t="n">
        <v>43</v>
      </c>
      <c r="N156" s="73" t="n">
        <v>145</v>
      </c>
      <c r="O156" s="73" t="n">
        <v>17593</v>
      </c>
      <c r="P156" s="73" t="n">
        <v>60001</v>
      </c>
      <c r="Q156" s="73" t="n">
        <v>407</v>
      </c>
      <c r="R156" s="73" t="n">
        <v>4571</v>
      </c>
    </row>
    <row r="157" customFormat="false" ht="15" hidden="false" customHeight="true" outlineLevel="0" collapsed="false">
      <c r="E157" s="70" t="s">
        <v>109</v>
      </c>
      <c r="F157" s="71" t="n">
        <v>137</v>
      </c>
      <c r="G157" s="71" t="n">
        <v>136</v>
      </c>
      <c r="H157" s="71" t="n">
        <v>1</v>
      </c>
      <c r="I157" s="71" t="s">
        <v>206</v>
      </c>
      <c r="J157" s="71" t="s">
        <v>117</v>
      </c>
      <c r="K157" s="71" t="n">
        <v>30</v>
      </c>
      <c r="L157" s="71" t="n">
        <v>32</v>
      </c>
      <c r="M157" s="71" t="n">
        <v>65</v>
      </c>
      <c r="N157" s="71" t="n">
        <v>157</v>
      </c>
      <c r="O157" s="71" t="n">
        <v>30683</v>
      </c>
      <c r="P157" s="71" t="n">
        <v>60001</v>
      </c>
      <c r="Q157" s="71" t="n">
        <v>508</v>
      </c>
      <c r="R157" s="71" t="n">
        <v>5102</v>
      </c>
    </row>
    <row r="158" customFormat="false" ht="15" hidden="false" customHeight="true" outlineLevel="0" collapsed="false">
      <c r="E158" s="72" t="s">
        <v>119</v>
      </c>
      <c r="F158" s="73" t="n">
        <v>108</v>
      </c>
      <c r="G158" s="73" t="n">
        <v>88</v>
      </c>
      <c r="H158" s="73" t="n">
        <v>20</v>
      </c>
      <c r="I158" s="73" t="s">
        <v>207</v>
      </c>
      <c r="J158" s="73" t="s">
        <v>117</v>
      </c>
      <c r="K158" s="73" t="n">
        <v>0</v>
      </c>
      <c r="L158" s="73" t="n">
        <v>32</v>
      </c>
      <c r="M158" s="73" t="n">
        <v>94</v>
      </c>
      <c r="N158" s="73" t="n">
        <v>338</v>
      </c>
      <c r="O158" s="73" t="n">
        <v>519</v>
      </c>
      <c r="P158" s="73" t="n">
        <v>538</v>
      </c>
      <c r="Q158" s="73" t="n">
        <v>92</v>
      </c>
      <c r="R158" s="73" t="n">
        <v>132</v>
      </c>
    </row>
    <row r="159" customFormat="false" ht="15" hidden="false" customHeight="true" outlineLevel="0" collapsed="false">
      <c r="E159" s="70" t="s">
        <v>109</v>
      </c>
      <c r="F159" s="71" t="n">
        <v>88</v>
      </c>
      <c r="G159" s="71" t="n">
        <v>88</v>
      </c>
      <c r="H159" s="71" t="n">
        <v>0</v>
      </c>
      <c r="I159" s="71" t="s">
        <v>85</v>
      </c>
      <c r="J159" s="71" t="s">
        <v>164</v>
      </c>
      <c r="K159" s="71" t="n">
        <v>30</v>
      </c>
      <c r="L159" s="71" t="n">
        <v>32</v>
      </c>
      <c r="M159" s="71" t="n">
        <v>127</v>
      </c>
      <c r="N159" s="71" t="n">
        <v>352</v>
      </c>
      <c r="O159" s="71" t="n">
        <v>518</v>
      </c>
      <c r="P159" s="71" t="n">
        <v>518</v>
      </c>
      <c r="Q159" s="71" t="n">
        <v>108</v>
      </c>
      <c r="R159" s="71" t="n">
        <v>133</v>
      </c>
    </row>
    <row r="160" customFormat="false" ht="15" hidden="false" customHeight="true" outlineLevel="0" collapsed="false">
      <c r="E160" s="74" t="s">
        <v>121</v>
      </c>
      <c r="F160" s="75" t="n">
        <f aca="false">F126+F130+F133+F137+F139+F141+F143+F147+F150+F152+F154+F158</f>
        <v>2808</v>
      </c>
      <c r="H160" s="1"/>
    </row>
    <row r="161" customFormat="false" ht="15" hidden="false" customHeight="true" outlineLevel="0" collapsed="false">
      <c r="H161" s="1"/>
    </row>
    <row r="162" customFormat="false" ht="15" hidden="false" customHeight="true" outlineLevel="0" collapsed="false">
      <c r="E162" s="68" t="s">
        <v>208</v>
      </c>
      <c r="H162" s="1"/>
    </row>
    <row r="163" customFormat="false" ht="15" hidden="false" customHeight="true" outlineLevel="0" collapsed="false">
      <c r="E163" s="76" t="s">
        <v>66</v>
      </c>
      <c r="F163" s="76" t="s">
        <v>67</v>
      </c>
      <c r="G163" s="76"/>
      <c r="H163" s="76"/>
      <c r="I163" s="76"/>
      <c r="J163" s="76"/>
      <c r="K163" s="76" t="s">
        <v>68</v>
      </c>
      <c r="L163" s="76"/>
      <c r="M163" s="76"/>
      <c r="N163" s="76"/>
      <c r="O163" s="76"/>
      <c r="P163" s="76"/>
      <c r="Q163" s="76"/>
      <c r="R163" s="76"/>
    </row>
    <row r="164" customFormat="false" ht="15" hidden="false" customHeight="true" outlineLevel="0" collapsed="false">
      <c r="E164" s="76"/>
      <c r="F164" s="76" t="s">
        <v>70</v>
      </c>
      <c r="G164" s="76" t="s">
        <v>71</v>
      </c>
      <c r="H164" s="76" t="s">
        <v>72</v>
      </c>
      <c r="I164" s="76" t="s">
        <v>73</v>
      </c>
      <c r="J164" s="76" t="s">
        <v>74</v>
      </c>
      <c r="K164" s="76" t="s">
        <v>75</v>
      </c>
      <c r="L164" s="76" t="s">
        <v>76</v>
      </c>
      <c r="M164" s="76" t="s">
        <v>77</v>
      </c>
      <c r="N164" s="76" t="s">
        <v>78</v>
      </c>
      <c r="O164" s="76" t="s">
        <v>79</v>
      </c>
      <c r="P164" s="76" t="s">
        <v>80</v>
      </c>
      <c r="Q164" s="76" t="s">
        <v>81</v>
      </c>
      <c r="R164" s="76" t="s">
        <v>82</v>
      </c>
    </row>
    <row r="165" customFormat="false" ht="15" hidden="false" customHeight="true" outlineLevel="0" collapsed="false">
      <c r="E165" s="70" t="s">
        <v>84</v>
      </c>
      <c r="F165" s="71" t="n">
        <v>48150</v>
      </c>
      <c r="G165" s="71" t="n">
        <v>48070</v>
      </c>
      <c r="H165" s="71" t="n">
        <v>80</v>
      </c>
      <c r="I165" s="71" t="s">
        <v>209</v>
      </c>
      <c r="J165" s="71" t="s">
        <v>210</v>
      </c>
      <c r="K165" s="71" t="n">
        <v>0</v>
      </c>
      <c r="L165" s="71" t="n">
        <v>88</v>
      </c>
      <c r="M165" s="71" t="n">
        <v>177</v>
      </c>
      <c r="N165" s="71" t="n">
        <v>282</v>
      </c>
      <c r="O165" s="71" t="n">
        <v>542</v>
      </c>
      <c r="P165" s="71" t="n">
        <v>1238</v>
      </c>
      <c r="Q165" s="71" t="n">
        <v>114</v>
      </c>
      <c r="R165" s="71" t="n">
        <v>115</v>
      </c>
    </row>
    <row r="166" customFormat="false" ht="15" hidden="false" customHeight="true" outlineLevel="0" collapsed="false">
      <c r="E166" s="72" t="s">
        <v>88</v>
      </c>
      <c r="F166" s="73" t="n">
        <v>3869</v>
      </c>
      <c r="G166" s="73" t="n">
        <v>3869</v>
      </c>
      <c r="H166" s="73" t="n">
        <v>0</v>
      </c>
      <c r="I166" s="73" t="s">
        <v>85</v>
      </c>
      <c r="J166" s="73" t="s">
        <v>166</v>
      </c>
      <c r="K166" s="73" t="n">
        <v>45</v>
      </c>
      <c r="L166" s="73" t="n">
        <v>231</v>
      </c>
      <c r="M166" s="73" t="n">
        <v>389</v>
      </c>
      <c r="N166" s="73" t="n">
        <v>583</v>
      </c>
      <c r="O166" s="73" t="n">
        <v>965</v>
      </c>
      <c r="P166" s="73" t="n">
        <v>1389</v>
      </c>
      <c r="Q166" s="73" t="n">
        <v>283</v>
      </c>
      <c r="R166" s="73" t="n">
        <v>211</v>
      </c>
    </row>
    <row r="167" customFormat="false" ht="15" hidden="false" customHeight="true" outlineLevel="0" collapsed="false">
      <c r="E167" s="70" t="s">
        <v>91</v>
      </c>
      <c r="F167" s="71" t="n">
        <v>3870</v>
      </c>
      <c r="G167" s="71" t="n">
        <v>3870</v>
      </c>
      <c r="H167" s="71" t="n">
        <v>0</v>
      </c>
      <c r="I167" s="71" t="s">
        <v>85</v>
      </c>
      <c r="J167" s="71" t="s">
        <v>166</v>
      </c>
      <c r="K167" s="71" t="n">
        <v>0</v>
      </c>
      <c r="L167" s="71" t="n">
        <v>1</v>
      </c>
      <c r="M167" s="71" t="n">
        <v>20</v>
      </c>
      <c r="N167" s="71" t="n">
        <v>57</v>
      </c>
      <c r="O167" s="71" t="n">
        <v>88</v>
      </c>
      <c r="P167" s="71" t="n">
        <v>301</v>
      </c>
      <c r="Q167" s="71" t="n">
        <v>14</v>
      </c>
      <c r="R167" s="71" t="n">
        <v>24</v>
      </c>
    </row>
    <row r="168" customFormat="false" ht="15" hidden="false" customHeight="true" outlineLevel="0" collapsed="false">
      <c r="E168" s="70" t="s">
        <v>93</v>
      </c>
      <c r="F168" s="71" t="n">
        <v>3870</v>
      </c>
      <c r="G168" s="71" t="n">
        <v>3870</v>
      </c>
      <c r="H168" s="71" t="n">
        <v>0</v>
      </c>
      <c r="I168" s="71" t="s">
        <v>85</v>
      </c>
      <c r="J168" s="71" t="s">
        <v>166</v>
      </c>
      <c r="K168" s="71" t="n">
        <v>20</v>
      </c>
      <c r="L168" s="71" t="n">
        <v>78</v>
      </c>
      <c r="M168" s="71" t="n">
        <v>158</v>
      </c>
      <c r="N168" s="71" t="n">
        <v>219</v>
      </c>
      <c r="O168" s="71" t="n">
        <v>477</v>
      </c>
      <c r="P168" s="71" t="n">
        <v>1022</v>
      </c>
      <c r="Q168" s="71" t="n">
        <v>102</v>
      </c>
      <c r="R168" s="71" t="n">
        <v>98</v>
      </c>
    </row>
    <row r="169" customFormat="false" ht="15" hidden="false" customHeight="true" outlineLevel="0" collapsed="false">
      <c r="E169" s="70" t="s">
        <v>95</v>
      </c>
      <c r="F169" s="71" t="n">
        <v>3870</v>
      </c>
      <c r="G169" s="71" t="n">
        <v>3870</v>
      </c>
      <c r="H169" s="71" t="n">
        <v>0</v>
      </c>
      <c r="I169" s="71" t="s">
        <v>85</v>
      </c>
      <c r="J169" s="71" t="s">
        <v>166</v>
      </c>
      <c r="K169" s="71" t="n">
        <v>23</v>
      </c>
      <c r="L169" s="71" t="n">
        <v>113</v>
      </c>
      <c r="M169" s="71" t="n">
        <v>204</v>
      </c>
      <c r="N169" s="71" t="n">
        <v>303</v>
      </c>
      <c r="O169" s="71" t="n">
        <v>577</v>
      </c>
      <c r="P169" s="71" t="n">
        <v>999</v>
      </c>
      <c r="Q169" s="71" t="n">
        <v>164</v>
      </c>
      <c r="R169" s="71" t="n">
        <v>123</v>
      </c>
    </row>
    <row r="170" customFormat="false" ht="15" hidden="false" customHeight="true" outlineLevel="0" collapsed="false">
      <c r="E170" s="72" t="s">
        <v>97</v>
      </c>
      <c r="F170" s="73" t="n">
        <v>3132</v>
      </c>
      <c r="G170" s="73" t="n">
        <v>3084</v>
      </c>
      <c r="H170" s="73" t="n">
        <v>48</v>
      </c>
      <c r="I170" s="73" t="s">
        <v>211</v>
      </c>
      <c r="J170" s="73" t="s">
        <v>167</v>
      </c>
      <c r="K170" s="73" t="n">
        <v>75</v>
      </c>
      <c r="L170" s="73" t="n">
        <v>295</v>
      </c>
      <c r="M170" s="73" t="n">
        <v>527</v>
      </c>
      <c r="N170" s="73" t="n">
        <v>842</v>
      </c>
      <c r="O170" s="73" t="n">
        <v>1452</v>
      </c>
      <c r="P170" s="73" t="n">
        <v>2008</v>
      </c>
      <c r="Q170" s="73" t="n">
        <v>401</v>
      </c>
      <c r="R170" s="73" t="n">
        <v>300</v>
      </c>
    </row>
    <row r="171" customFormat="false" ht="15" hidden="false" customHeight="true" outlineLevel="0" collapsed="false">
      <c r="E171" s="70" t="s">
        <v>100</v>
      </c>
      <c r="F171" s="71" t="n">
        <v>6276</v>
      </c>
      <c r="G171" s="71" t="n">
        <v>6228</v>
      </c>
      <c r="H171" s="71" t="n">
        <v>48</v>
      </c>
      <c r="I171" s="71" t="s">
        <v>166</v>
      </c>
      <c r="J171" s="71" t="s">
        <v>212</v>
      </c>
      <c r="K171" s="71" t="n">
        <v>24</v>
      </c>
      <c r="L171" s="71" t="n">
        <v>93</v>
      </c>
      <c r="M171" s="71" t="n">
        <v>190</v>
      </c>
      <c r="N171" s="71" t="n">
        <v>294</v>
      </c>
      <c r="O171" s="71" t="n">
        <v>583</v>
      </c>
      <c r="P171" s="71" t="n">
        <v>1008</v>
      </c>
      <c r="Q171" s="71" t="n">
        <v>129</v>
      </c>
      <c r="R171" s="71" t="n">
        <v>119</v>
      </c>
    </row>
    <row r="172" customFormat="false" ht="15" hidden="false" customHeight="true" outlineLevel="0" collapsed="false">
      <c r="E172" s="70" t="s">
        <v>95</v>
      </c>
      <c r="F172" s="71" t="n">
        <v>3138</v>
      </c>
      <c r="G172" s="71" t="n">
        <v>3138</v>
      </c>
      <c r="H172" s="71" t="n">
        <v>0</v>
      </c>
      <c r="I172" s="71" t="s">
        <v>85</v>
      </c>
      <c r="J172" s="71" t="s">
        <v>167</v>
      </c>
      <c r="K172" s="71" t="n">
        <v>23</v>
      </c>
      <c r="L172" s="71" t="n">
        <v>93</v>
      </c>
      <c r="M172" s="71" t="n">
        <v>188</v>
      </c>
      <c r="N172" s="71" t="n">
        <v>286</v>
      </c>
      <c r="O172" s="71" t="n">
        <v>534</v>
      </c>
      <c r="P172" s="71" t="n">
        <v>706</v>
      </c>
      <c r="Q172" s="71" t="n">
        <v>123</v>
      </c>
      <c r="R172" s="71" t="n">
        <v>104</v>
      </c>
    </row>
    <row r="173" customFormat="false" ht="15" hidden="false" customHeight="true" outlineLevel="0" collapsed="false">
      <c r="E173" s="72" t="s">
        <v>107</v>
      </c>
      <c r="F173" s="73" t="n">
        <v>2246</v>
      </c>
      <c r="G173" s="73" t="n">
        <v>2246</v>
      </c>
      <c r="H173" s="73" t="n">
        <v>0</v>
      </c>
      <c r="I173" s="73" t="s">
        <v>85</v>
      </c>
      <c r="J173" s="73" t="s">
        <v>169</v>
      </c>
      <c r="K173" s="73" t="n">
        <v>70</v>
      </c>
      <c r="L173" s="73" t="n">
        <v>249</v>
      </c>
      <c r="M173" s="73" t="n">
        <v>437</v>
      </c>
      <c r="N173" s="73" t="n">
        <v>696</v>
      </c>
      <c r="O173" s="73" t="n">
        <v>1172</v>
      </c>
      <c r="P173" s="73" t="n">
        <v>1627</v>
      </c>
      <c r="Q173" s="73" t="n">
        <v>329</v>
      </c>
      <c r="R173" s="73" t="n">
        <v>251</v>
      </c>
    </row>
    <row r="174" customFormat="false" ht="15" hidden="false" customHeight="true" outlineLevel="0" collapsed="false">
      <c r="E174" s="70" t="s">
        <v>93</v>
      </c>
      <c r="F174" s="71" t="n">
        <v>2247</v>
      </c>
      <c r="G174" s="71" t="n">
        <v>2247</v>
      </c>
      <c r="H174" s="71" t="n">
        <v>0</v>
      </c>
      <c r="I174" s="71" t="s">
        <v>85</v>
      </c>
      <c r="J174" s="71" t="s">
        <v>169</v>
      </c>
      <c r="K174" s="71" t="n">
        <v>18</v>
      </c>
      <c r="L174" s="71" t="n">
        <v>24</v>
      </c>
      <c r="M174" s="71" t="n">
        <v>110</v>
      </c>
      <c r="N174" s="71" t="n">
        <v>227</v>
      </c>
      <c r="O174" s="71" t="n">
        <v>463</v>
      </c>
      <c r="P174" s="71" t="n">
        <v>824</v>
      </c>
      <c r="Q174" s="71" t="n">
        <v>80</v>
      </c>
      <c r="R174" s="71" t="n">
        <v>96</v>
      </c>
    </row>
    <row r="175" customFormat="false" ht="15" hidden="false" customHeight="true" outlineLevel="0" collapsed="false">
      <c r="E175" s="70" t="s">
        <v>95</v>
      </c>
      <c r="F175" s="71" t="n">
        <v>2247</v>
      </c>
      <c r="G175" s="71" t="n">
        <v>2247</v>
      </c>
      <c r="H175" s="71" t="n">
        <v>0</v>
      </c>
      <c r="I175" s="71" t="s">
        <v>85</v>
      </c>
      <c r="J175" s="71" t="s">
        <v>169</v>
      </c>
      <c r="K175" s="71" t="n">
        <v>23</v>
      </c>
      <c r="L175" s="71" t="n">
        <v>89</v>
      </c>
      <c r="M175" s="71" t="n">
        <v>170</v>
      </c>
      <c r="N175" s="71" t="n">
        <v>208</v>
      </c>
      <c r="O175" s="71" t="n">
        <v>463</v>
      </c>
      <c r="P175" s="71" t="n">
        <v>800</v>
      </c>
      <c r="Q175" s="71" t="n">
        <v>111</v>
      </c>
      <c r="R175" s="71" t="n">
        <v>93</v>
      </c>
    </row>
    <row r="176" customFormat="false" ht="15" hidden="false" customHeight="true" outlineLevel="0" collapsed="false">
      <c r="E176" s="70" t="s">
        <v>109</v>
      </c>
      <c r="F176" s="71" t="n">
        <v>2247</v>
      </c>
      <c r="G176" s="71" t="n">
        <v>2247</v>
      </c>
      <c r="H176" s="71" t="n">
        <v>0</v>
      </c>
      <c r="I176" s="71" t="s">
        <v>85</v>
      </c>
      <c r="J176" s="71" t="s">
        <v>169</v>
      </c>
      <c r="K176" s="71" t="n">
        <v>27</v>
      </c>
      <c r="L176" s="71" t="n">
        <v>102</v>
      </c>
      <c r="M176" s="71" t="n">
        <v>196</v>
      </c>
      <c r="N176" s="71" t="n">
        <v>296</v>
      </c>
      <c r="O176" s="71" t="n">
        <v>673</v>
      </c>
      <c r="P176" s="71" t="n">
        <v>806</v>
      </c>
      <c r="Q176" s="71" t="n">
        <v>137</v>
      </c>
      <c r="R176" s="71" t="n">
        <v>109</v>
      </c>
    </row>
    <row r="177" customFormat="false" ht="15" hidden="false" customHeight="true" outlineLevel="0" collapsed="false">
      <c r="E177" s="72" t="s">
        <v>115</v>
      </c>
      <c r="F177" s="73" t="n">
        <v>2027</v>
      </c>
      <c r="G177" s="73" t="n">
        <v>2027</v>
      </c>
      <c r="H177" s="73" t="n">
        <v>0</v>
      </c>
      <c r="I177" s="73" t="s">
        <v>85</v>
      </c>
      <c r="J177" s="73" t="s">
        <v>170</v>
      </c>
      <c r="K177" s="73" t="n">
        <v>28</v>
      </c>
      <c r="L177" s="73" t="n">
        <v>83</v>
      </c>
      <c r="M177" s="73" t="n">
        <v>210</v>
      </c>
      <c r="N177" s="73" t="n">
        <v>343</v>
      </c>
      <c r="O177" s="73" t="n">
        <v>748</v>
      </c>
      <c r="P177" s="73" t="n">
        <v>905</v>
      </c>
      <c r="Q177" s="73" t="n">
        <v>137</v>
      </c>
      <c r="R177" s="73" t="n">
        <v>140</v>
      </c>
    </row>
    <row r="178" customFormat="false" ht="15" hidden="false" customHeight="true" outlineLevel="0" collapsed="false">
      <c r="E178" s="70" t="s">
        <v>109</v>
      </c>
      <c r="F178" s="71" t="n">
        <v>2027</v>
      </c>
      <c r="G178" s="71" t="n">
        <v>2027</v>
      </c>
      <c r="H178" s="71" t="n">
        <v>0</v>
      </c>
      <c r="I178" s="71" t="s">
        <v>85</v>
      </c>
      <c r="J178" s="71" t="s">
        <v>170</v>
      </c>
      <c r="K178" s="71" t="n">
        <v>28</v>
      </c>
      <c r="L178" s="71" t="n">
        <v>83</v>
      </c>
      <c r="M178" s="71" t="n">
        <v>210</v>
      </c>
      <c r="N178" s="71" t="n">
        <v>343</v>
      </c>
      <c r="O178" s="71" t="n">
        <v>748</v>
      </c>
      <c r="P178" s="71" t="n">
        <v>905</v>
      </c>
      <c r="Q178" s="71" t="n">
        <v>137</v>
      </c>
      <c r="R178" s="71" t="n">
        <v>140</v>
      </c>
    </row>
    <row r="179" customFormat="false" ht="15" hidden="false" customHeight="true" outlineLevel="0" collapsed="false">
      <c r="E179" s="72" t="s">
        <v>118</v>
      </c>
      <c r="F179" s="73" t="n">
        <v>2025</v>
      </c>
      <c r="G179" s="73" t="n">
        <v>2025</v>
      </c>
      <c r="H179" s="73" t="n">
        <v>0</v>
      </c>
      <c r="I179" s="73" t="s">
        <v>85</v>
      </c>
      <c r="J179" s="73" t="s">
        <v>170</v>
      </c>
      <c r="K179" s="73" t="n">
        <v>28</v>
      </c>
      <c r="L179" s="73" t="n">
        <v>93</v>
      </c>
      <c r="M179" s="73" t="n">
        <v>220</v>
      </c>
      <c r="N179" s="73" t="n">
        <v>360</v>
      </c>
      <c r="O179" s="73" t="n">
        <v>924</v>
      </c>
      <c r="P179" s="73" t="n">
        <v>1238</v>
      </c>
      <c r="Q179" s="73" t="n">
        <v>145</v>
      </c>
      <c r="R179" s="73" t="n">
        <v>144</v>
      </c>
    </row>
    <row r="180" customFormat="false" ht="15" hidden="false" customHeight="true" outlineLevel="0" collapsed="false">
      <c r="E180" s="70" t="s">
        <v>109</v>
      </c>
      <c r="F180" s="71" t="n">
        <v>2027</v>
      </c>
      <c r="G180" s="71" t="n">
        <v>2027</v>
      </c>
      <c r="H180" s="71" t="n">
        <v>0</v>
      </c>
      <c r="I180" s="71" t="s">
        <v>85</v>
      </c>
      <c r="J180" s="71" t="s">
        <v>170</v>
      </c>
      <c r="K180" s="71" t="n">
        <v>28</v>
      </c>
      <c r="L180" s="71" t="n">
        <v>93</v>
      </c>
      <c r="M180" s="71" t="n">
        <v>219</v>
      </c>
      <c r="N180" s="71" t="n">
        <v>358</v>
      </c>
      <c r="O180" s="71" t="n">
        <v>675</v>
      </c>
      <c r="P180" s="71" t="n">
        <v>1238</v>
      </c>
      <c r="Q180" s="71" t="n">
        <v>145</v>
      </c>
      <c r="R180" s="71" t="n">
        <v>144</v>
      </c>
    </row>
    <row r="181" customFormat="false" ht="15" hidden="false" customHeight="true" outlineLevel="0" collapsed="false">
      <c r="E181" s="72" t="s">
        <v>119</v>
      </c>
      <c r="F181" s="73" t="n">
        <v>1278</v>
      </c>
      <c r="G181" s="73" t="n">
        <v>1278</v>
      </c>
      <c r="H181" s="73" t="n">
        <v>0</v>
      </c>
      <c r="I181" s="73" t="s">
        <v>85</v>
      </c>
      <c r="J181" s="73" t="s">
        <v>171</v>
      </c>
      <c r="K181" s="73" t="n">
        <v>29</v>
      </c>
      <c r="L181" s="73" t="n">
        <v>84</v>
      </c>
      <c r="M181" s="73" t="n">
        <v>203</v>
      </c>
      <c r="N181" s="73" t="n">
        <v>339</v>
      </c>
      <c r="O181" s="73" t="n">
        <v>802</v>
      </c>
      <c r="P181" s="73" t="n">
        <v>1149</v>
      </c>
      <c r="Q181" s="73" t="n">
        <v>136</v>
      </c>
      <c r="R181" s="73" t="n">
        <v>138</v>
      </c>
    </row>
    <row r="182" customFormat="false" ht="15" hidden="false" customHeight="true" outlineLevel="0" collapsed="false">
      <c r="E182" s="70" t="s">
        <v>109</v>
      </c>
      <c r="F182" s="71" t="n">
        <v>1279</v>
      </c>
      <c r="G182" s="71" t="n">
        <v>1279</v>
      </c>
      <c r="H182" s="71" t="n">
        <v>0</v>
      </c>
      <c r="I182" s="71" t="s">
        <v>85</v>
      </c>
      <c r="J182" s="71" t="s">
        <v>171</v>
      </c>
      <c r="K182" s="71" t="n">
        <v>28</v>
      </c>
      <c r="L182" s="71" t="n">
        <v>73</v>
      </c>
      <c r="M182" s="71" t="n">
        <v>196</v>
      </c>
      <c r="N182" s="71" t="n">
        <v>326</v>
      </c>
      <c r="O182" s="71" t="n">
        <v>809</v>
      </c>
      <c r="P182" s="71" t="n">
        <v>1148</v>
      </c>
      <c r="Q182" s="71" t="n">
        <v>130</v>
      </c>
      <c r="R182" s="71" t="n">
        <v>134</v>
      </c>
    </row>
    <row r="183" customFormat="false" ht="15" hidden="false" customHeight="true" outlineLevel="0" collapsed="false">
      <c r="E183" s="72" t="s">
        <v>110</v>
      </c>
      <c r="F183" s="73" t="n">
        <v>2033</v>
      </c>
      <c r="G183" s="73" t="n">
        <v>2001</v>
      </c>
      <c r="H183" s="73" t="n">
        <v>32</v>
      </c>
      <c r="I183" s="73" t="s">
        <v>213</v>
      </c>
      <c r="J183" s="73" t="s">
        <v>170</v>
      </c>
      <c r="K183" s="73" t="n">
        <v>69</v>
      </c>
      <c r="L183" s="73" t="n">
        <v>276</v>
      </c>
      <c r="M183" s="73" t="n">
        <v>500</v>
      </c>
      <c r="N183" s="73" t="n">
        <v>768</v>
      </c>
      <c r="O183" s="73" t="n">
        <v>1223</v>
      </c>
      <c r="P183" s="73" t="n">
        <v>1734</v>
      </c>
      <c r="Q183" s="73" t="n">
        <v>365</v>
      </c>
      <c r="R183" s="73" t="n">
        <v>272</v>
      </c>
    </row>
    <row r="184" customFormat="false" ht="15" hidden="false" customHeight="true" outlineLevel="0" collapsed="false">
      <c r="E184" s="70" t="s">
        <v>93</v>
      </c>
      <c r="F184" s="71" t="n">
        <v>2035</v>
      </c>
      <c r="G184" s="71" t="n">
        <v>2035</v>
      </c>
      <c r="H184" s="71" t="n">
        <v>0</v>
      </c>
      <c r="I184" s="71" t="s">
        <v>85</v>
      </c>
      <c r="J184" s="71" t="s">
        <v>170</v>
      </c>
      <c r="K184" s="71" t="n">
        <v>18</v>
      </c>
      <c r="L184" s="71" t="n">
        <v>30</v>
      </c>
      <c r="M184" s="71" t="n">
        <v>121</v>
      </c>
      <c r="N184" s="71" t="n">
        <v>236</v>
      </c>
      <c r="O184" s="71" t="n">
        <v>568</v>
      </c>
      <c r="P184" s="71" t="n">
        <v>670</v>
      </c>
      <c r="Q184" s="71" t="n">
        <v>87</v>
      </c>
      <c r="R184" s="71" t="n">
        <v>100</v>
      </c>
    </row>
    <row r="185" customFormat="false" ht="15" hidden="false" customHeight="true" outlineLevel="0" collapsed="false">
      <c r="E185" s="70" t="s">
        <v>112</v>
      </c>
      <c r="F185" s="71" t="n">
        <v>2035</v>
      </c>
      <c r="G185" s="71" t="n">
        <v>2003</v>
      </c>
      <c r="H185" s="71" t="n">
        <v>32</v>
      </c>
      <c r="I185" s="71" t="s">
        <v>213</v>
      </c>
      <c r="J185" s="71" t="s">
        <v>170</v>
      </c>
      <c r="K185" s="71" t="n">
        <v>26</v>
      </c>
      <c r="L185" s="71" t="n">
        <v>100</v>
      </c>
      <c r="M185" s="71" t="n">
        <v>200</v>
      </c>
      <c r="N185" s="71" t="n">
        <v>301</v>
      </c>
      <c r="O185" s="71" t="n">
        <v>538</v>
      </c>
      <c r="P185" s="71" t="n">
        <v>1001</v>
      </c>
      <c r="Q185" s="71" t="n">
        <v>143</v>
      </c>
      <c r="R185" s="71" t="n">
        <v>116</v>
      </c>
    </row>
    <row r="186" customFormat="false" ht="15" hidden="false" customHeight="true" outlineLevel="0" collapsed="false">
      <c r="E186" s="70" t="s">
        <v>95</v>
      </c>
      <c r="F186" s="71" t="n">
        <v>2035</v>
      </c>
      <c r="G186" s="71" t="n">
        <v>2035</v>
      </c>
      <c r="H186" s="71" t="n">
        <v>0</v>
      </c>
      <c r="I186" s="71" t="s">
        <v>85</v>
      </c>
      <c r="J186" s="71" t="s">
        <v>170</v>
      </c>
      <c r="K186" s="71" t="n">
        <v>23</v>
      </c>
      <c r="L186" s="71" t="n">
        <v>99</v>
      </c>
      <c r="M186" s="71" t="n">
        <v>192</v>
      </c>
      <c r="N186" s="71" t="n">
        <v>282</v>
      </c>
      <c r="O186" s="71" t="n">
        <v>526</v>
      </c>
      <c r="P186" s="71" t="n">
        <v>894</v>
      </c>
      <c r="Q186" s="71" t="n">
        <v>128</v>
      </c>
      <c r="R186" s="71" t="n">
        <v>105</v>
      </c>
    </row>
    <row r="187" customFormat="false" ht="15" hidden="false" customHeight="true" outlineLevel="0" collapsed="false">
      <c r="E187" s="72" t="s">
        <v>113</v>
      </c>
      <c r="F187" s="73" t="n">
        <v>2379</v>
      </c>
      <c r="G187" s="73" t="n">
        <v>2379</v>
      </c>
      <c r="H187" s="73" t="n">
        <v>0</v>
      </c>
      <c r="I187" s="73" t="s">
        <v>85</v>
      </c>
      <c r="J187" s="73" t="s">
        <v>173</v>
      </c>
      <c r="K187" s="73" t="n">
        <v>43</v>
      </c>
      <c r="L187" s="73" t="n">
        <v>160</v>
      </c>
      <c r="M187" s="73" t="n">
        <v>316</v>
      </c>
      <c r="N187" s="73" t="n">
        <v>495</v>
      </c>
      <c r="O187" s="73" t="n">
        <v>978</v>
      </c>
      <c r="P187" s="73" t="n">
        <v>1543</v>
      </c>
      <c r="Q187" s="73" t="n">
        <v>224</v>
      </c>
      <c r="R187" s="73" t="n">
        <v>193</v>
      </c>
    </row>
    <row r="188" customFormat="false" ht="15" hidden="false" customHeight="true" outlineLevel="0" collapsed="false">
      <c r="E188" s="70" t="s">
        <v>93</v>
      </c>
      <c r="F188" s="71" t="n">
        <v>2379</v>
      </c>
      <c r="G188" s="71" t="n">
        <v>2379</v>
      </c>
      <c r="H188" s="71" t="n">
        <v>0</v>
      </c>
      <c r="I188" s="71" t="s">
        <v>85</v>
      </c>
      <c r="J188" s="71" t="s">
        <v>173</v>
      </c>
      <c r="K188" s="71" t="n">
        <v>20</v>
      </c>
      <c r="L188" s="71" t="n">
        <v>55</v>
      </c>
      <c r="M188" s="71" t="n">
        <v>146</v>
      </c>
      <c r="N188" s="71" t="n">
        <v>252</v>
      </c>
      <c r="O188" s="71" t="n">
        <v>610</v>
      </c>
      <c r="P188" s="71" t="n">
        <v>1043</v>
      </c>
      <c r="Q188" s="71" t="n">
        <v>99</v>
      </c>
      <c r="R188" s="71" t="n">
        <v>105</v>
      </c>
    </row>
    <row r="189" customFormat="false" ht="15" hidden="false" customHeight="true" outlineLevel="0" collapsed="false">
      <c r="E189" s="70" t="s">
        <v>95</v>
      </c>
      <c r="F189" s="71" t="n">
        <v>2379</v>
      </c>
      <c r="G189" s="71" t="n">
        <v>2379</v>
      </c>
      <c r="H189" s="71" t="n">
        <v>0</v>
      </c>
      <c r="I189" s="71" t="s">
        <v>85</v>
      </c>
      <c r="J189" s="71" t="s">
        <v>173</v>
      </c>
      <c r="K189" s="71" t="n">
        <v>23</v>
      </c>
      <c r="L189" s="71" t="n">
        <v>96</v>
      </c>
      <c r="M189" s="71" t="n">
        <v>192</v>
      </c>
      <c r="N189" s="71" t="n">
        <v>295</v>
      </c>
      <c r="O189" s="71" t="n">
        <v>518</v>
      </c>
      <c r="P189" s="71" t="n">
        <v>701</v>
      </c>
      <c r="Q189" s="71" t="n">
        <v>125</v>
      </c>
      <c r="R189" s="71" t="n">
        <v>105</v>
      </c>
    </row>
    <row r="190" customFormat="false" ht="15" hidden="false" customHeight="true" outlineLevel="0" collapsed="false">
      <c r="E190" s="72" t="s">
        <v>104</v>
      </c>
      <c r="F190" s="73" t="n">
        <v>731</v>
      </c>
      <c r="G190" s="73" t="n">
        <v>731</v>
      </c>
      <c r="H190" s="73" t="n">
        <v>0</v>
      </c>
      <c r="I190" s="73" t="s">
        <v>85</v>
      </c>
      <c r="J190" s="73" t="s">
        <v>174</v>
      </c>
      <c r="K190" s="73" t="n">
        <v>25</v>
      </c>
      <c r="L190" s="73" t="n">
        <v>101</v>
      </c>
      <c r="M190" s="73" t="n">
        <v>227</v>
      </c>
      <c r="N190" s="73" t="n">
        <v>353</v>
      </c>
      <c r="O190" s="73" t="n">
        <v>707</v>
      </c>
      <c r="P190" s="73" t="n">
        <v>1058</v>
      </c>
      <c r="Q190" s="73" t="n">
        <v>148</v>
      </c>
      <c r="R190" s="73" t="n">
        <v>147</v>
      </c>
    </row>
    <row r="191" customFormat="false" ht="15" hidden="false" customHeight="true" outlineLevel="0" collapsed="false">
      <c r="E191" s="70" t="s">
        <v>100</v>
      </c>
      <c r="F191" s="71" t="n">
        <v>731</v>
      </c>
      <c r="G191" s="71" t="n">
        <v>731</v>
      </c>
      <c r="H191" s="71" t="n">
        <v>0</v>
      </c>
      <c r="I191" s="71" t="s">
        <v>85</v>
      </c>
      <c r="J191" s="71" t="s">
        <v>174</v>
      </c>
      <c r="K191" s="71" t="n">
        <v>25</v>
      </c>
      <c r="L191" s="71" t="n">
        <v>101</v>
      </c>
      <c r="M191" s="71" t="n">
        <v>227</v>
      </c>
      <c r="N191" s="71" t="n">
        <v>352</v>
      </c>
      <c r="O191" s="71" t="n">
        <v>687</v>
      </c>
      <c r="P191" s="71" t="n">
        <v>1058</v>
      </c>
      <c r="Q191" s="71" t="n">
        <v>148</v>
      </c>
      <c r="R191" s="71" t="n">
        <v>147</v>
      </c>
    </row>
    <row r="192" customFormat="false" ht="15" hidden="false" customHeight="true" outlineLevel="0" collapsed="false">
      <c r="E192" s="72" t="s">
        <v>106</v>
      </c>
      <c r="F192" s="73" t="n">
        <v>730</v>
      </c>
      <c r="G192" s="73" t="n">
        <v>730</v>
      </c>
      <c r="H192" s="73" t="n">
        <v>0</v>
      </c>
      <c r="I192" s="73" t="s">
        <v>85</v>
      </c>
      <c r="J192" s="73" t="s">
        <v>174</v>
      </c>
      <c r="K192" s="73" t="n">
        <v>26</v>
      </c>
      <c r="L192" s="73" t="n">
        <v>65</v>
      </c>
      <c r="M192" s="73" t="n">
        <v>181</v>
      </c>
      <c r="N192" s="73" t="n">
        <v>291</v>
      </c>
      <c r="O192" s="73" t="n">
        <v>607</v>
      </c>
      <c r="P192" s="73" t="n">
        <v>761</v>
      </c>
      <c r="Q192" s="73" t="n">
        <v>121</v>
      </c>
      <c r="R192" s="73" t="n">
        <v>127</v>
      </c>
    </row>
    <row r="193" customFormat="false" ht="15" hidden="false" customHeight="true" outlineLevel="0" collapsed="false">
      <c r="E193" s="70" t="s">
        <v>100</v>
      </c>
      <c r="F193" s="71" t="n">
        <v>731</v>
      </c>
      <c r="G193" s="71" t="n">
        <v>731</v>
      </c>
      <c r="H193" s="71" t="n">
        <v>0</v>
      </c>
      <c r="I193" s="71" t="s">
        <v>85</v>
      </c>
      <c r="J193" s="71" t="s">
        <v>174</v>
      </c>
      <c r="K193" s="71" t="n">
        <v>26</v>
      </c>
      <c r="L193" s="71" t="n">
        <v>64</v>
      </c>
      <c r="M193" s="71" t="n">
        <v>180</v>
      </c>
      <c r="N193" s="71" t="n">
        <v>292</v>
      </c>
      <c r="O193" s="71" t="n">
        <v>607</v>
      </c>
      <c r="P193" s="71" t="n">
        <v>761</v>
      </c>
      <c r="Q193" s="71" t="n">
        <v>121</v>
      </c>
      <c r="R193" s="71" t="n">
        <v>127</v>
      </c>
    </row>
    <row r="194" customFormat="false" ht="15" hidden="false" customHeight="true" outlineLevel="0" collapsed="false">
      <c r="E194" s="72" t="s">
        <v>114</v>
      </c>
      <c r="F194" s="73" t="n">
        <v>729</v>
      </c>
      <c r="G194" s="73" t="n">
        <v>729</v>
      </c>
      <c r="H194" s="73" t="n">
        <v>0</v>
      </c>
      <c r="I194" s="73" t="s">
        <v>85</v>
      </c>
      <c r="J194" s="73" t="s">
        <v>174</v>
      </c>
      <c r="K194" s="73" t="n">
        <v>69</v>
      </c>
      <c r="L194" s="73" t="n">
        <v>224</v>
      </c>
      <c r="M194" s="73" t="n">
        <v>404</v>
      </c>
      <c r="N194" s="73" t="n">
        <v>675</v>
      </c>
      <c r="O194" s="73" t="n">
        <v>1263</v>
      </c>
      <c r="P194" s="73" t="n">
        <v>1699</v>
      </c>
      <c r="Q194" s="73" t="n">
        <v>319</v>
      </c>
      <c r="R194" s="73" t="n">
        <v>263</v>
      </c>
    </row>
    <row r="195" customFormat="false" ht="15" hidden="false" customHeight="true" outlineLevel="0" collapsed="false">
      <c r="E195" s="70" t="s">
        <v>93</v>
      </c>
      <c r="F195" s="71" t="n">
        <v>730</v>
      </c>
      <c r="G195" s="71" t="n">
        <v>730</v>
      </c>
      <c r="H195" s="71" t="n">
        <v>0</v>
      </c>
      <c r="I195" s="71" t="s">
        <v>85</v>
      </c>
      <c r="J195" s="71" t="s">
        <v>174</v>
      </c>
      <c r="K195" s="71" t="n">
        <v>18</v>
      </c>
      <c r="L195" s="71" t="n">
        <v>21</v>
      </c>
      <c r="M195" s="71" t="n">
        <v>91</v>
      </c>
      <c r="N195" s="71" t="n">
        <v>181</v>
      </c>
      <c r="O195" s="71" t="n">
        <v>414</v>
      </c>
      <c r="P195" s="71" t="n">
        <v>614</v>
      </c>
      <c r="Q195" s="71" t="n">
        <v>69</v>
      </c>
      <c r="R195" s="71" t="n">
        <v>81</v>
      </c>
    </row>
    <row r="196" customFormat="false" ht="15" hidden="false" customHeight="true" outlineLevel="0" collapsed="false">
      <c r="E196" s="70" t="s">
        <v>95</v>
      </c>
      <c r="F196" s="71" t="n">
        <v>730</v>
      </c>
      <c r="G196" s="71" t="n">
        <v>730</v>
      </c>
      <c r="H196" s="71" t="n">
        <v>0</v>
      </c>
      <c r="I196" s="71" t="s">
        <v>85</v>
      </c>
      <c r="J196" s="71" t="s">
        <v>174</v>
      </c>
      <c r="K196" s="71" t="n">
        <v>23</v>
      </c>
      <c r="L196" s="71" t="n">
        <v>85</v>
      </c>
      <c r="M196" s="71" t="n">
        <v>140</v>
      </c>
      <c r="N196" s="71" t="n">
        <v>206</v>
      </c>
      <c r="O196" s="71" t="n">
        <v>518</v>
      </c>
      <c r="P196" s="71" t="n">
        <v>702</v>
      </c>
      <c r="Q196" s="71" t="n">
        <v>111</v>
      </c>
      <c r="R196" s="71" t="n">
        <v>99</v>
      </c>
    </row>
    <row r="197" customFormat="false" ht="15" hidden="false" customHeight="true" outlineLevel="0" collapsed="false">
      <c r="E197" s="70" t="s">
        <v>100</v>
      </c>
      <c r="F197" s="71" t="n">
        <v>730</v>
      </c>
      <c r="G197" s="71" t="n">
        <v>730</v>
      </c>
      <c r="H197" s="71" t="n">
        <v>0</v>
      </c>
      <c r="I197" s="71" t="s">
        <v>85</v>
      </c>
      <c r="J197" s="71" t="s">
        <v>174</v>
      </c>
      <c r="K197" s="71" t="n">
        <v>25</v>
      </c>
      <c r="L197" s="71" t="n">
        <v>96</v>
      </c>
      <c r="M197" s="71" t="n">
        <v>189</v>
      </c>
      <c r="N197" s="71" t="n">
        <v>293</v>
      </c>
      <c r="O197" s="71" t="n">
        <v>611</v>
      </c>
      <c r="P197" s="71" t="n">
        <v>703</v>
      </c>
      <c r="Q197" s="71" t="n">
        <v>126</v>
      </c>
      <c r="R197" s="71" t="n">
        <v>110</v>
      </c>
    </row>
    <row r="198" customFormat="false" ht="15" hidden="false" customHeight="true" outlineLevel="0" collapsed="false">
      <c r="E198" s="72" t="s">
        <v>116</v>
      </c>
      <c r="F198" s="73" t="n">
        <v>536</v>
      </c>
      <c r="G198" s="73" t="n">
        <v>536</v>
      </c>
      <c r="H198" s="73" t="n">
        <v>0</v>
      </c>
      <c r="I198" s="73" t="s">
        <v>85</v>
      </c>
      <c r="J198" s="73" t="s">
        <v>175</v>
      </c>
      <c r="K198" s="73" t="n">
        <v>27</v>
      </c>
      <c r="L198" s="73" t="n">
        <v>77</v>
      </c>
      <c r="M198" s="73" t="n">
        <v>192</v>
      </c>
      <c r="N198" s="73" t="n">
        <v>327</v>
      </c>
      <c r="O198" s="73" t="n">
        <v>650</v>
      </c>
      <c r="P198" s="73" t="n">
        <v>867</v>
      </c>
      <c r="Q198" s="73" t="n">
        <v>131</v>
      </c>
      <c r="R198" s="73" t="n">
        <v>136</v>
      </c>
    </row>
    <row r="199" customFormat="false" ht="15" hidden="false" customHeight="true" outlineLevel="0" collapsed="false">
      <c r="E199" s="70" t="s">
        <v>112</v>
      </c>
      <c r="F199" s="71" t="n">
        <v>537</v>
      </c>
      <c r="G199" s="71" t="n">
        <v>537</v>
      </c>
      <c r="H199" s="71" t="n">
        <v>0</v>
      </c>
      <c r="I199" s="71" t="s">
        <v>85</v>
      </c>
      <c r="J199" s="71" t="s">
        <v>175</v>
      </c>
      <c r="K199" s="71" t="n">
        <v>27</v>
      </c>
      <c r="L199" s="71" t="n">
        <v>77</v>
      </c>
      <c r="M199" s="71" t="n">
        <v>192</v>
      </c>
      <c r="N199" s="71" t="n">
        <v>327</v>
      </c>
      <c r="O199" s="71" t="n">
        <v>650</v>
      </c>
      <c r="P199" s="71" t="n">
        <v>867</v>
      </c>
      <c r="Q199" s="71" t="n">
        <v>131</v>
      </c>
      <c r="R199" s="71" t="n">
        <v>136</v>
      </c>
    </row>
    <row r="200" customFormat="false" ht="15" hidden="false" customHeight="true" outlineLevel="0" collapsed="false">
      <c r="E200" s="74" t="s">
        <v>121</v>
      </c>
      <c r="F200" s="75" t="n">
        <f aca="false">F166+F170+F173+F177+F179+F181+F183+F187+F190+F192+F194+F198</f>
        <v>21715</v>
      </c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</sheetData>
  <mergeCells count="15">
    <mergeCell ref="E3:E4"/>
    <mergeCell ref="F3:J3"/>
    <mergeCell ref="K3:R3"/>
    <mergeCell ref="E43:E44"/>
    <mergeCell ref="F43:J43"/>
    <mergeCell ref="K43:R43"/>
    <mergeCell ref="E83:E84"/>
    <mergeCell ref="F83:J83"/>
    <mergeCell ref="K83:R83"/>
    <mergeCell ref="E123:E124"/>
    <mergeCell ref="F123:J123"/>
    <mergeCell ref="K123:R123"/>
    <mergeCell ref="E163:E164"/>
    <mergeCell ref="F163:J163"/>
    <mergeCell ref="K163:R163"/>
  </mergeCells>
  <hyperlinks>
    <hyperlink ref="E5" r:id="rId1" display="  All Requests "/>
    <hyperlink ref="E6" r:id="rId2" display="  home_page "/>
    <hyperlink ref="E7" r:id="rId3" display="  /WebTours/ "/>
    <hyperlink ref="E8" r:id="rId4" display="  /cgi-bin/welcome.pl "/>
    <hyperlink ref="E9" r:id="rId5" display="  /cgi-bin/nav.pl "/>
    <hyperlink ref="E10" r:id="rId6" display="  login "/>
    <hyperlink ref="E11" r:id="rId7" display="  /cgi-bin/login.pl "/>
    <hyperlink ref="E12" r:id="rId8" display="  /cgi-bin/nav.pl "/>
    <hyperlink ref="E13" r:id="rId9" display="  open_register_page "/>
    <hyperlink ref="E14" r:id="rId10" display="  /cgi-bin/login.pl "/>
    <hyperlink ref="E15" r:id="rId11" display="  fill_register_page "/>
    <hyperlink ref="E16" r:id="rId12" display="  /cgi-bin/login.pl "/>
    <hyperlink ref="E17" r:id="rId13" display="  flights "/>
    <hyperlink ref="E18" r:id="rId14" display="  /cgi-bin/welcome.pl "/>
    <hyperlink ref="E19" r:id="rId15" display="  /cgi-bin/nav.pl "/>
    <hyperlink ref="E20" r:id="rId16" display="  /cgi-bin/reservations.pl "/>
    <hyperlink ref="E21" r:id="rId17" display="  itinerary "/>
    <hyperlink ref="E22" r:id="rId18" display="  /cgi-bin/welcome.pl "/>
    <hyperlink ref="E23" r:id="rId19" display="  /cgi-bin/itinerary.pl "/>
    <hyperlink ref="E24" r:id="rId20" display="  /cgi-bin/nav.pl "/>
    <hyperlink ref="E25" r:id="rId21" display="  logout "/>
    <hyperlink ref="E26" r:id="rId22" display="  /cgi-bin/welcome.pl "/>
    <hyperlink ref="E27" r:id="rId23" display="  /cgi-bin/nav.pl "/>
    <hyperlink ref="E28" r:id="rId24" display="  next_page_after_register_completion "/>
    <hyperlink ref="E29" r:id="rId25" display="  /cgi-bin/welcome.pl "/>
    <hyperlink ref="E30" r:id="rId26" display="  /cgi-bin/nav.pl "/>
    <hyperlink ref="E31" r:id="rId27" display="  /cgi-bin/login.pl "/>
    <hyperlink ref="E32" r:id="rId28" display="  flights_find "/>
    <hyperlink ref="E33" r:id="rId29" display="  /cgi-bin/reservations.pl "/>
    <hyperlink ref="E34" r:id="rId30" display="  itinerary_delete "/>
    <hyperlink ref="E35" r:id="rId31" display="  /cgi-bin/itinerary.pl "/>
    <hyperlink ref="E36" r:id="rId32" display="  choose_available_flight "/>
    <hyperlink ref="E37" r:id="rId33" display="  /cgi-bin/reservations.pl "/>
    <hyperlink ref="E38" r:id="rId34" display="  payment_details "/>
    <hyperlink ref="E39" r:id="rId35" display="  /cgi-bin/reservations.pl "/>
    <hyperlink ref="E45" r:id="rId36" display="  All Requests "/>
    <hyperlink ref="E46" r:id="rId37" display="  home_page "/>
    <hyperlink ref="E47" r:id="rId38" display="  /WebTours/ "/>
    <hyperlink ref="E48" r:id="rId39" display="  /cgi-bin/welcome.pl "/>
    <hyperlink ref="E49" r:id="rId40" display="  /cgi-bin/nav.pl "/>
    <hyperlink ref="E50" r:id="rId41" display="  login "/>
    <hyperlink ref="E51" r:id="rId42" display="  /cgi-bin/login.pl "/>
    <hyperlink ref="E52" r:id="rId43" display="  /cgi-bin/nav.pl "/>
    <hyperlink ref="E53" r:id="rId44" display="  flights "/>
    <hyperlink ref="E54" r:id="rId45" display="  /cgi-bin/welcome.pl "/>
    <hyperlink ref="E55" r:id="rId46" display="  /cgi-bin/nav.pl "/>
    <hyperlink ref="E56" r:id="rId47" display="  /cgi-bin/reservations.pl "/>
    <hyperlink ref="E57" r:id="rId48" display="  flights_find "/>
    <hyperlink ref="E58" r:id="rId49" display="  /cgi-bin/reservations.pl "/>
    <hyperlink ref="E59" r:id="rId50" display="  choose_available_flight "/>
    <hyperlink ref="E60" r:id="rId51" display="  /cgi-bin/reservations.pl "/>
    <hyperlink ref="E61" r:id="rId52" display="  payment_details "/>
    <hyperlink ref="E62" r:id="rId53" display="  /cgi-bin/reservations.pl "/>
    <hyperlink ref="E63" r:id="rId54" display="  itinerary "/>
    <hyperlink ref="E64" r:id="rId55" display="  /cgi-bin/welcome.pl "/>
    <hyperlink ref="E65" r:id="rId56" display="  /cgi-bin/itinerary.pl "/>
    <hyperlink ref="E66" r:id="rId57" display="  /cgi-bin/nav.pl "/>
    <hyperlink ref="E67" r:id="rId58" display="  logout "/>
    <hyperlink ref="E68" r:id="rId59" display="  /cgi-bin/welcome.pl "/>
    <hyperlink ref="E69" r:id="rId60" display="  /cgi-bin/nav.pl "/>
    <hyperlink ref="E70" r:id="rId61" display="  open_register_page "/>
    <hyperlink ref="E71" r:id="rId62" display="  /cgi-bin/login.pl "/>
    <hyperlink ref="E72" r:id="rId63" display="  fill_register_page "/>
    <hyperlink ref="E73" r:id="rId64" display="  /cgi-bin/login.pl "/>
    <hyperlink ref="E74" r:id="rId65" display="  next_page_after_register_completion "/>
    <hyperlink ref="E75" r:id="rId66" display="  /cgi-bin/welcome.pl "/>
    <hyperlink ref="E76" r:id="rId67" display="  /cgi-bin/nav.pl "/>
    <hyperlink ref="E77" r:id="rId68" display="  /cgi-bin/login.pl "/>
    <hyperlink ref="E78" r:id="rId69" display="  itinerary_delete "/>
    <hyperlink ref="E79" r:id="rId70" display="  /cgi-bin/itinerary.pl "/>
    <hyperlink ref="E85" r:id="rId71" display="  All Requests "/>
    <hyperlink ref="E86" r:id="rId72" display="  home_page "/>
    <hyperlink ref="E87" r:id="rId73" display="  /WebTours/ "/>
    <hyperlink ref="E88" r:id="rId74" display="  /cgi-bin/welcome.pl "/>
    <hyperlink ref="E89" r:id="rId75" display="  /cgi-bin/nav.pl "/>
    <hyperlink ref="E90" r:id="rId76" display="  login "/>
    <hyperlink ref="E91" r:id="rId77" display="  /cgi-bin/login.pl "/>
    <hyperlink ref="E92" r:id="rId78" display="  /cgi-bin/nav.pl "/>
    <hyperlink ref="E93" r:id="rId79" display="  flights "/>
    <hyperlink ref="E94" r:id="rId80" display="  /cgi-bin/welcome.pl "/>
    <hyperlink ref="E95" r:id="rId81" display="  /cgi-bin/nav.pl "/>
    <hyperlink ref="E96" r:id="rId82" display="  /cgi-bin/reservations.pl "/>
    <hyperlink ref="E97" r:id="rId83" display="  flights_find "/>
    <hyperlink ref="E98" r:id="rId84" display="  /cgi-bin/reservations.pl "/>
    <hyperlink ref="E99" r:id="rId85" display="  choose_available_flight "/>
    <hyperlink ref="E100" r:id="rId86" display="  /cgi-bin/reservations.pl "/>
    <hyperlink ref="E101" r:id="rId87" display="  payment_details "/>
    <hyperlink ref="E102" r:id="rId88" display="  /cgi-bin/reservations.pl "/>
    <hyperlink ref="E103" r:id="rId89" display="  itinerary "/>
    <hyperlink ref="E104" r:id="rId90" display="  /cgi-bin/welcome.pl "/>
    <hyperlink ref="E105" r:id="rId91" display="  /cgi-bin/itinerary.pl "/>
    <hyperlink ref="E106" r:id="rId92" display="  /cgi-bin/nav.pl "/>
    <hyperlink ref="E107" r:id="rId93" display="  logout "/>
    <hyperlink ref="E108" r:id="rId94" display="  /cgi-bin/welcome.pl "/>
    <hyperlink ref="E109" r:id="rId95" display="  /cgi-bin/nav.pl "/>
    <hyperlink ref="E110" r:id="rId96" display="  open_register_page "/>
    <hyperlink ref="E111" r:id="rId97" display="  /cgi-bin/login.pl "/>
    <hyperlink ref="E112" r:id="rId98" display="  fill_register_page "/>
    <hyperlink ref="E113" r:id="rId99" display="  /cgi-bin/login.pl "/>
    <hyperlink ref="E114" r:id="rId100" display="  next_page_after_register_completion "/>
    <hyperlink ref="E115" r:id="rId101" display="  /cgi-bin/welcome.pl "/>
    <hyperlink ref="E116" r:id="rId102" display="  /cgi-bin/nav.pl "/>
    <hyperlink ref="E117" r:id="rId103" display="  /cgi-bin/login.pl "/>
    <hyperlink ref="E118" r:id="rId104" display="  itinerary_delete "/>
    <hyperlink ref="E119" r:id="rId105" display="  /cgi-bin/itinerary.pl "/>
    <hyperlink ref="E125" r:id="rId106" display="  All Requests "/>
    <hyperlink ref="E126" r:id="rId107" display="  home_page "/>
    <hyperlink ref="E127" r:id="rId108" display="  /WebTours/ "/>
    <hyperlink ref="E128" r:id="rId109" display="  /cgi-bin/welcome.pl "/>
    <hyperlink ref="E129" r:id="rId110" display="  /cgi-bin/nav.pl "/>
    <hyperlink ref="E130" r:id="rId111" display="  login "/>
    <hyperlink ref="E131" r:id="rId112" display="  /cgi-bin/login.pl "/>
    <hyperlink ref="E132" r:id="rId113" display="  /cgi-bin/nav.pl "/>
    <hyperlink ref="E133" r:id="rId114" display="  open_register_page "/>
    <hyperlink ref="E134" r:id="rId115" display="  /cgi-bin/login.pl "/>
    <hyperlink ref="E135" r:id="rId116" display="  fill_register_page "/>
    <hyperlink ref="E136" r:id="rId117" display="  /cgi-bin/login.pl "/>
    <hyperlink ref="E137" r:id="rId118" display="  flights "/>
    <hyperlink ref="E138" r:id="rId119" display="  /cgi-bin/welcome.pl "/>
    <hyperlink ref="E139" r:id="rId120" display="  /cgi-bin/nav.pl "/>
    <hyperlink ref="E140" r:id="rId121" display="  /cgi-bin/reservations.pl "/>
    <hyperlink ref="E141" r:id="rId122" display="  logout "/>
    <hyperlink ref="E142" r:id="rId123" display="  /cgi-bin/welcome.pl "/>
    <hyperlink ref="E143" r:id="rId124" display="  /cgi-bin/nav.pl "/>
    <hyperlink ref="E144" r:id="rId125" display="  itinerary "/>
    <hyperlink ref="E145" r:id="rId126" display="  /cgi-bin/welcome.pl "/>
    <hyperlink ref="E146" r:id="rId127" display="  /cgi-bin/itinerary.pl "/>
    <hyperlink ref="E147" r:id="rId128" display="  /cgi-bin/nav.pl "/>
    <hyperlink ref="E148" r:id="rId129" display="  next_page_after_register_completion "/>
    <hyperlink ref="E149" r:id="rId130" display="  /cgi-bin/welcome.pl "/>
    <hyperlink ref="E150" r:id="rId131" display="  /cgi-bin/nav.pl "/>
    <hyperlink ref="E151" r:id="rId132" display="  /cgi-bin/login.pl "/>
    <hyperlink ref="E152" r:id="rId133" display="  flights_find "/>
    <hyperlink ref="E153" r:id="rId134" display="  /cgi-bin/reservations.pl "/>
    <hyperlink ref="E154" r:id="rId135" display="  itinerary_delete "/>
    <hyperlink ref="E155" r:id="rId136" display="  /cgi-bin/itinerary.pl "/>
    <hyperlink ref="E156" r:id="rId137" display="  choose_available_flight "/>
    <hyperlink ref="E157" r:id="rId138" display="  /cgi-bin/reservations.pl "/>
    <hyperlink ref="E158" r:id="rId139" display="  payment_details "/>
    <hyperlink ref="E159" r:id="rId140" display="  /cgi-bin/reservations.pl "/>
    <hyperlink ref="E165" r:id="rId141" display="  All Requests "/>
    <hyperlink ref="E166" r:id="rId142" display="  home_page "/>
    <hyperlink ref="E167" r:id="rId143" display="  /WebTours/ "/>
    <hyperlink ref="E168" r:id="rId144" display="  /cgi-bin/welcome.pl "/>
    <hyperlink ref="E169" r:id="rId145" display="  /cgi-bin/nav.pl "/>
    <hyperlink ref="E170" r:id="rId146" display="  login "/>
    <hyperlink ref="E171" r:id="rId147" display="  /cgi-bin/login.pl "/>
    <hyperlink ref="E172" r:id="rId148" display="  /cgi-bin/nav.pl "/>
    <hyperlink ref="E173" r:id="rId149" display="  flights "/>
    <hyperlink ref="E174" r:id="rId150" display="  /cgi-bin/welcome.pl "/>
    <hyperlink ref="E175" r:id="rId151" display="  /cgi-bin/nav.pl "/>
    <hyperlink ref="E176" r:id="rId152" display="  /cgi-bin/reservations.pl "/>
    <hyperlink ref="E177" r:id="rId153" display="  flights_find "/>
    <hyperlink ref="E178" r:id="rId154" display="  /cgi-bin/reservations.pl "/>
    <hyperlink ref="E179" r:id="rId155" display="  choose_available_flight "/>
    <hyperlink ref="E180" r:id="rId156" display="  /cgi-bin/reservations.pl "/>
    <hyperlink ref="E181" r:id="rId157" display="  payment_details "/>
    <hyperlink ref="E182" r:id="rId158" display="  /cgi-bin/reservations.pl "/>
    <hyperlink ref="E183" r:id="rId159" display="  itinerary "/>
    <hyperlink ref="E184" r:id="rId160" display="  /cgi-bin/welcome.pl "/>
    <hyperlink ref="E185" r:id="rId161" display="  /cgi-bin/itinerary.pl "/>
    <hyperlink ref="E186" r:id="rId162" display="  /cgi-bin/nav.pl "/>
    <hyperlink ref="E187" r:id="rId163" display="  logout "/>
    <hyperlink ref="E188" r:id="rId164" display="  /cgi-bin/welcome.pl "/>
    <hyperlink ref="E189" r:id="rId165" display="  /cgi-bin/nav.pl "/>
    <hyperlink ref="E190" r:id="rId166" display="  open_register_page "/>
    <hyperlink ref="E191" r:id="rId167" display="  /cgi-bin/login.pl "/>
    <hyperlink ref="E192" r:id="rId168" display="  fill_register_page "/>
    <hyperlink ref="E193" r:id="rId169" display="  /cgi-bin/login.pl "/>
    <hyperlink ref="E194" r:id="rId170" display="  next_page_after_register_completion "/>
    <hyperlink ref="E195" r:id="rId171" display="  /cgi-bin/welcome.pl "/>
    <hyperlink ref="E196" r:id="rId172" display="  /cgi-bin/nav.pl "/>
    <hyperlink ref="E197" r:id="rId173" display="  /cgi-bin/login.pl "/>
    <hyperlink ref="E198" r:id="rId174" display="  itinerary_delete "/>
    <hyperlink ref="E199" r:id="rId175" display="  /cgi-bin/itinerary.pl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048576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selection pane="topLeft" activeCell="S12" activeCellId="0" sqref="S12"/>
    </sheetView>
  </sheetViews>
  <sheetFormatPr defaultColWidth="8.83203125" defaultRowHeight="15" customHeight="true" zeroHeight="false" outlineLevelRow="0" outlineLevelCol="0"/>
  <cols>
    <col collapsed="false" customWidth="false" hidden="false" outlineLevel="0" max="1" min="1" style="78" width="8.83"/>
    <col collapsed="false" customWidth="true" hidden="false" outlineLevel="0" max="2" min="2" style="78" width="4.5"/>
    <col collapsed="false" customWidth="true" hidden="true" outlineLevel="0" max="4" min="3" style="78" width="9.16"/>
    <col collapsed="false" customWidth="true" hidden="false" outlineLevel="0" max="5" min="5" style="78" width="49.37"/>
    <col collapsed="false" customWidth="true" hidden="false" outlineLevel="0" max="6" min="6" style="78" width="40.08"/>
    <col collapsed="false" customWidth="true" hidden="false" outlineLevel="0" max="7" min="7" style="78" width="13.88"/>
    <col collapsed="false" customWidth="true" hidden="false" outlineLevel="0" max="8" min="8" style="78" width="11.43"/>
    <col collapsed="false" customWidth="true" hidden="false" outlineLevel="0" max="9" min="9" style="78" width="13.36"/>
    <col collapsed="false" customWidth="true" hidden="false" outlineLevel="0" max="10" min="10" style="78" width="2.89"/>
    <col collapsed="false" customWidth="true" hidden="false" outlineLevel="0" max="11" min="11" style="78" width="2.52"/>
    <col collapsed="false" customWidth="true" hidden="false" outlineLevel="0" max="12" min="12" style="78" width="49.75"/>
    <col collapsed="false" customWidth="true" hidden="false" outlineLevel="0" max="13" min="13" style="78" width="40.69"/>
    <col collapsed="false" customWidth="true" hidden="false" outlineLevel="0" max="14" min="14" style="78" width="14.03"/>
    <col collapsed="false" customWidth="true" hidden="false" outlineLevel="0" max="15" min="15" style="78" width="10.98"/>
    <col collapsed="false" customWidth="true" hidden="false" outlineLevel="0" max="16" min="16" style="78" width="13.06"/>
    <col collapsed="false" customWidth="true" hidden="false" outlineLevel="0" max="17" min="17" style="78" width="13.29"/>
    <col collapsed="false" customWidth="false" hidden="false" outlineLevel="0" max="16384" min="18" style="78" width="8.83"/>
  </cols>
  <sheetData>
    <row r="2" customFormat="false" ht="15" hidden="false" customHeight="true" outlineLevel="0" collapsed="false">
      <c r="E2" s="79" t="s">
        <v>214</v>
      </c>
      <c r="L2" s="79" t="s">
        <v>215</v>
      </c>
    </row>
    <row r="3" customFormat="false" ht="15" hidden="false" customHeight="false" outlineLevel="0" collapsed="false">
      <c r="E3" s="80" t="s">
        <v>216</v>
      </c>
      <c r="F3" s="80"/>
      <c r="G3" s="80"/>
      <c r="H3" s="80"/>
      <c r="I3" s="80"/>
      <c r="L3" s="80" t="s">
        <v>216</v>
      </c>
      <c r="M3" s="80"/>
      <c r="N3" s="80"/>
      <c r="O3" s="80"/>
      <c r="P3" s="80"/>
    </row>
    <row r="5" customFormat="false" ht="27.7" hidden="false" customHeight="false" outlineLevel="0" collapsed="false">
      <c r="E5" s="81" t="s">
        <v>217</v>
      </c>
      <c r="F5" s="81" t="s">
        <v>218</v>
      </c>
      <c r="G5" s="81" t="s">
        <v>219</v>
      </c>
      <c r="H5" s="81" t="s">
        <v>220</v>
      </c>
      <c r="I5" s="81" t="s">
        <v>221</v>
      </c>
      <c r="L5" s="81" t="s">
        <v>217</v>
      </c>
      <c r="M5" s="81" t="s">
        <v>218</v>
      </c>
      <c r="N5" s="81" t="s">
        <v>219</v>
      </c>
      <c r="O5" s="81" t="s">
        <v>220</v>
      </c>
      <c r="P5" s="81" t="s">
        <v>221</v>
      </c>
    </row>
    <row r="6" customFormat="false" ht="15" hidden="false" customHeight="false" outlineLevel="0" collapsed="false">
      <c r="E6" s="82" t="s">
        <v>20</v>
      </c>
      <c r="F6" s="83" t="s">
        <v>51</v>
      </c>
      <c r="G6" s="84" t="n">
        <f aca="false">'Автоматизированный расчет'!C39</f>
        <v>525.966060043141</v>
      </c>
      <c r="H6" s="85" t="n">
        <f aca="false">('Автоматизированный расчет'!H39)*3</f>
        <v>522</v>
      </c>
      <c r="I6" s="86" t="n">
        <f aca="false">1-G6/H6</f>
        <v>-0.00759781617459909</v>
      </c>
      <c r="L6" s="82" t="s">
        <v>20</v>
      </c>
      <c r="M6" s="83" t="s">
        <v>51</v>
      </c>
      <c r="N6" s="84" t="n">
        <f aca="false">'Автоматизированный расчет'!C39</f>
        <v>525.966060043141</v>
      </c>
      <c r="O6" s="87" t="n">
        <f aca="false">((SummaryReport!F6)/22)*60</f>
        <v>531.818181818182</v>
      </c>
      <c r="P6" s="86" t="n">
        <f aca="false">1-N6/O6</f>
        <v>0.0110039896624697</v>
      </c>
      <c r="Q6" s="88"/>
      <c r="R6" s="89"/>
    </row>
    <row r="7" customFormat="false" ht="15" hidden="false" customHeight="false" outlineLevel="0" collapsed="false">
      <c r="E7" s="90" t="s">
        <v>21</v>
      </c>
      <c r="F7" s="83" t="s">
        <v>52</v>
      </c>
      <c r="G7" s="84" t="n">
        <f aca="false">'Автоматизированный расчет'!C40</f>
        <v>427.064961142042</v>
      </c>
      <c r="H7" s="85" t="n">
        <f aca="false">('Автоматизированный расчет'!H40)*3</f>
        <v>429</v>
      </c>
      <c r="I7" s="86" t="n">
        <f aca="false">1-G7/H7</f>
        <v>0.00451058008848071</v>
      </c>
      <c r="L7" s="90" t="s">
        <v>21</v>
      </c>
      <c r="M7" s="83" t="s">
        <v>52</v>
      </c>
      <c r="N7" s="84" t="n">
        <f aca="false">'Автоматизированный расчет'!C40</f>
        <v>427.064961142042</v>
      </c>
      <c r="O7" s="87" t="n">
        <f aca="false">((SummaryReport!F10)/22)*60</f>
        <v>430.909090909091</v>
      </c>
      <c r="P7" s="86" t="n">
        <f aca="false">1-N7/O7</f>
        <v>0.00892097625264499</v>
      </c>
      <c r="Q7" s="88"/>
      <c r="R7" s="89"/>
    </row>
    <row r="8" customFormat="false" ht="15" hidden="false" customHeight="false" outlineLevel="0" collapsed="false">
      <c r="E8" s="91" t="s">
        <v>24</v>
      </c>
      <c r="F8" s="83" t="s">
        <v>53</v>
      </c>
      <c r="G8" s="84" t="n">
        <f aca="false">'Автоматизированный расчет'!C41</f>
        <v>305.746792579779</v>
      </c>
      <c r="H8" s="85" t="n">
        <f aca="false">('Автоматизированный расчет'!H41)*3</f>
        <v>303</v>
      </c>
      <c r="I8" s="86" t="n">
        <f aca="false">1-G8/H8</f>
        <v>-0.00906532204547461</v>
      </c>
      <c r="L8" s="91" t="s">
        <v>24</v>
      </c>
      <c r="M8" s="83" t="s">
        <v>53</v>
      </c>
      <c r="N8" s="84" t="n">
        <f aca="false">'Автоматизированный расчет'!C41</f>
        <v>305.746792579779</v>
      </c>
      <c r="O8" s="87" t="n">
        <f aca="false">((SummaryReport!F17)/22)*60</f>
        <v>308.181818181818</v>
      </c>
      <c r="P8" s="86" t="n">
        <f aca="false">1-N8/O8</f>
        <v>0.00790126301546634</v>
      </c>
      <c r="Q8" s="88"/>
      <c r="R8" s="89"/>
    </row>
    <row r="9" customFormat="false" ht="15" hidden="false" customHeight="false" outlineLevel="0" collapsed="false">
      <c r="E9" s="90" t="s">
        <v>27</v>
      </c>
      <c r="F9" s="83" t="s">
        <v>54</v>
      </c>
      <c r="G9" s="84" t="n">
        <f aca="false">'Автоматизированный расчет'!C42</f>
        <v>275.896046311122</v>
      </c>
      <c r="H9" s="85" t="n">
        <f aca="false">('Автоматизированный расчет'!H42)*3</f>
        <v>273</v>
      </c>
      <c r="I9" s="92" t="n">
        <f aca="false">1-G9/H9</f>
        <v>-0.0106082282458684</v>
      </c>
      <c r="L9" s="90" t="s">
        <v>27</v>
      </c>
      <c r="M9" s="83" t="s">
        <v>54</v>
      </c>
      <c r="N9" s="84" t="n">
        <f aca="false">'Автоматизированный расчет'!C42</f>
        <v>275.896046311122</v>
      </c>
      <c r="O9" s="87" t="n">
        <f aca="false">((SummaryReport!F32)/22)*60</f>
        <v>278.181818181818</v>
      </c>
      <c r="P9" s="92" t="n">
        <f aca="false">1-N9/O9</f>
        <v>0.00821682698616277</v>
      </c>
      <c r="Q9" s="88"/>
      <c r="R9" s="89"/>
    </row>
    <row r="10" customFormat="false" ht="15" hidden="false" customHeight="false" outlineLevel="0" collapsed="false">
      <c r="E10" s="90" t="s">
        <v>22</v>
      </c>
      <c r="F10" s="83" t="s">
        <v>55</v>
      </c>
      <c r="G10" s="84" t="n">
        <f aca="false">'Автоматизированный расчет'!C43</f>
        <v>275.896046311122</v>
      </c>
      <c r="H10" s="93" t="n">
        <f aca="false">('Автоматизированный расчет'!H43)*3</f>
        <v>273</v>
      </c>
      <c r="I10" s="86" t="n">
        <f aca="false">1-G10/H10</f>
        <v>-0.0106082282458684</v>
      </c>
      <c r="L10" s="90" t="s">
        <v>22</v>
      </c>
      <c r="M10" s="83" t="s">
        <v>55</v>
      </c>
      <c r="N10" s="84" t="n">
        <f aca="false">'Автоматизированный расчет'!C43</f>
        <v>275.896046311122</v>
      </c>
      <c r="O10" s="94" t="n">
        <f aca="false">((SummaryReport!F36)/22)*60</f>
        <v>278.181818181818</v>
      </c>
      <c r="P10" s="86" t="n">
        <f aca="false">1-N10/O10</f>
        <v>0.00821682698616277</v>
      </c>
      <c r="Q10" s="88"/>
      <c r="R10" s="89"/>
    </row>
    <row r="11" customFormat="false" ht="15" hidden="false" customHeight="false" outlineLevel="0" collapsed="false">
      <c r="E11" s="90" t="s">
        <v>29</v>
      </c>
      <c r="F11" s="83" t="s">
        <v>56</v>
      </c>
      <c r="G11" s="84" t="n">
        <f aca="false">'Автоматизированный расчет'!C44</f>
        <v>173.913043478261</v>
      </c>
      <c r="H11" s="85" t="n">
        <f aca="false">('Автоматизированный расчет'!H44)*3</f>
        <v>171</v>
      </c>
      <c r="I11" s="86" t="n">
        <f aca="false">1-G11/H11</f>
        <v>-0.0170353419781337</v>
      </c>
      <c r="L11" s="90" t="s">
        <v>29</v>
      </c>
      <c r="M11" s="83" t="s">
        <v>56</v>
      </c>
      <c r="N11" s="84" t="n">
        <f aca="false">'Автоматизированный расчет'!C44</f>
        <v>173.913043478261</v>
      </c>
      <c r="O11" s="87" t="n">
        <f aca="false">((SummaryReport!F38)/22)*60</f>
        <v>174.545454545455</v>
      </c>
      <c r="P11" s="86" t="n">
        <f aca="false">1-N11/O11</f>
        <v>0.00362318840579656</v>
      </c>
      <c r="Q11" s="88"/>
      <c r="R11" s="89"/>
    </row>
    <row r="12" customFormat="false" ht="15" hidden="false" customHeight="false" outlineLevel="0" collapsed="false">
      <c r="E12" s="90" t="s">
        <v>33</v>
      </c>
      <c r="F12" s="83" t="s">
        <v>57</v>
      </c>
      <c r="G12" s="95" t="n">
        <f aca="false">'Автоматизированный расчет'!C45</f>
        <v>277.837863820992</v>
      </c>
      <c r="H12" s="96" t="n">
        <f aca="false">('Автоматизированный расчет'!H45)*3</f>
        <v>276</v>
      </c>
      <c r="I12" s="97" t="n">
        <f aca="false">1-G12/H12</f>
        <v>-0.00665892688765113</v>
      </c>
      <c r="L12" s="90" t="s">
        <v>33</v>
      </c>
      <c r="M12" s="83" t="s">
        <v>57</v>
      </c>
      <c r="N12" s="84" t="n">
        <f aca="false">'Автоматизированный расчет'!C45</f>
        <v>277.837863820992</v>
      </c>
      <c r="O12" s="98" t="n">
        <f aca="false">((SummaryReport!F21)/22)*60</f>
        <v>278.181818181818</v>
      </c>
      <c r="P12" s="97" t="n">
        <f aca="false">1-N12/O12</f>
        <v>0.00123643724479994</v>
      </c>
      <c r="Q12" s="88"/>
      <c r="R12" s="89"/>
    </row>
    <row r="13" customFormat="false" ht="16.9" hidden="false" customHeight="true" outlineLevel="0" collapsed="false">
      <c r="E13" s="90" t="s">
        <v>31</v>
      </c>
      <c r="F13" s="83" t="s">
        <v>58</v>
      </c>
      <c r="G13" s="95" t="n">
        <f aca="false">'Автоматизированный расчет'!C46</f>
        <v>74.0740740740741</v>
      </c>
      <c r="H13" s="96" t="n">
        <f aca="false">('Автоматизированный расчет'!H46)*3</f>
        <v>75</v>
      </c>
      <c r="I13" s="97" t="n">
        <f aca="false">1-G13/H13</f>
        <v>0.0123456790123456</v>
      </c>
      <c r="L13" s="90" t="s">
        <v>31</v>
      </c>
      <c r="M13" s="83" t="s">
        <v>58</v>
      </c>
      <c r="N13" s="84" t="n">
        <f aca="false">'Автоматизированный расчет'!C46</f>
        <v>74.0740740740741</v>
      </c>
      <c r="O13" s="98" t="n">
        <f aca="false">((SummaryReport!F34)/22)*60</f>
        <v>73.6363636363636</v>
      </c>
      <c r="P13" s="97" t="n">
        <f aca="false">1-N13/O13</f>
        <v>-0.00594421582075944</v>
      </c>
      <c r="Q13" s="88"/>
      <c r="R13" s="89"/>
    </row>
    <row r="14" customFormat="false" ht="16.9" hidden="false" customHeight="true" outlineLevel="0" collapsed="false">
      <c r="E14" s="90" t="s">
        <v>25</v>
      </c>
      <c r="F14" s="83" t="s">
        <v>59</v>
      </c>
      <c r="G14" s="95" t="n">
        <f aca="false">'Автоматизированный расчет'!C47</f>
        <v>325.081958309181</v>
      </c>
      <c r="H14" s="96" t="n">
        <f aca="false">('Автоматизированный расчет'!H47)*3</f>
        <v>324</v>
      </c>
      <c r="I14" s="97" t="n">
        <f aca="false">1-G14/H14</f>
        <v>-0.00333937749747126</v>
      </c>
      <c r="L14" s="90" t="s">
        <v>25</v>
      </c>
      <c r="M14" s="83" t="s">
        <v>59</v>
      </c>
      <c r="N14" s="84" t="n">
        <f aca="false">'Автоматизированный расчет'!C47</f>
        <v>325.081958309181</v>
      </c>
      <c r="O14" s="98" t="n">
        <f aca="false">((SummaryReport!F25)/22)*60</f>
        <v>327.272727272727</v>
      </c>
      <c r="P14" s="97" t="n">
        <f aca="false">1-N14/O14</f>
        <v>0.00669401627750244</v>
      </c>
      <c r="Q14" s="88"/>
      <c r="R14" s="89"/>
    </row>
    <row r="15" customFormat="false" ht="15.45" hidden="false" customHeight="true" outlineLevel="0" collapsed="false">
      <c r="E15" s="90" t="s">
        <v>34</v>
      </c>
      <c r="F15" s="83" t="s">
        <v>60</v>
      </c>
      <c r="G15" s="95" t="n">
        <f aca="false">'Автоматизированный расчет'!C48</f>
        <v>98.9010989010989</v>
      </c>
      <c r="H15" s="96" t="n">
        <f aca="false">('Автоматизированный расчет'!H48)*3</f>
        <v>96</v>
      </c>
      <c r="I15" s="97" t="n">
        <f aca="false">1-G15/H15</f>
        <v>-0.0302197802197803</v>
      </c>
      <c r="L15" s="90" t="s">
        <v>34</v>
      </c>
      <c r="M15" s="83" t="s">
        <v>60</v>
      </c>
      <c r="N15" s="84" t="n">
        <f aca="false">'Автоматизированный расчет'!C48</f>
        <v>98.9010989010989</v>
      </c>
      <c r="O15" s="98" t="n">
        <f aca="false">((SummaryReport!F13)/22)*60</f>
        <v>100.909090909091</v>
      </c>
      <c r="P15" s="97" t="n">
        <f aca="false">1-N15/O15</f>
        <v>0.0198990198990199</v>
      </c>
      <c r="Q15" s="88"/>
      <c r="R15" s="89"/>
    </row>
    <row r="16" customFormat="false" ht="16.9" hidden="false" customHeight="true" outlineLevel="0" collapsed="false">
      <c r="E16" s="90" t="s">
        <v>35</v>
      </c>
      <c r="F16" s="83" t="s">
        <v>61</v>
      </c>
      <c r="G16" s="95" t="n">
        <f aca="false">'Автоматизированный расчет'!C49</f>
        <v>98.9010989010989</v>
      </c>
      <c r="H16" s="96" t="n">
        <f aca="false">('Автоматизированный расчет'!H49)*3</f>
        <v>96</v>
      </c>
      <c r="I16" s="97" t="n">
        <f aca="false">1-G16/H16</f>
        <v>-0.0302197802197803</v>
      </c>
      <c r="L16" s="90" t="s">
        <v>35</v>
      </c>
      <c r="M16" s="83" t="s">
        <v>61</v>
      </c>
      <c r="N16" s="84" t="n">
        <f aca="false">'Автоматизированный расчет'!C49</f>
        <v>98.9010989010989</v>
      </c>
      <c r="O16" s="98" t="n">
        <f aca="false">((SummaryReport!F15)/22)*60</f>
        <v>100.909090909091</v>
      </c>
      <c r="P16" s="97" t="n">
        <f aca="false">1-N16/O16</f>
        <v>0.0198990198990199</v>
      </c>
      <c r="Q16" s="88"/>
      <c r="R16" s="89"/>
    </row>
    <row r="17" customFormat="false" ht="16.9" hidden="false" customHeight="true" outlineLevel="0" collapsed="false">
      <c r="E17" s="90" t="s">
        <v>36</v>
      </c>
      <c r="F17" s="83" t="s">
        <v>62</v>
      </c>
      <c r="G17" s="95" t="n">
        <f aca="false">'Автоматизированный расчет'!C50</f>
        <v>98.9010989010989</v>
      </c>
      <c r="H17" s="96" t="n">
        <f aca="false">('Автоматизированный расчет'!H50)*3</f>
        <v>96</v>
      </c>
      <c r="I17" s="97" t="n">
        <f aca="false">1-G17/H17</f>
        <v>-0.0302197802197803</v>
      </c>
      <c r="L17" s="90" t="s">
        <v>36</v>
      </c>
      <c r="M17" s="83" t="s">
        <v>62</v>
      </c>
      <c r="N17" s="84" t="n">
        <f aca="false">'Автоматизированный расчет'!C50</f>
        <v>98.9010989010989</v>
      </c>
      <c r="O17" s="98" t="n">
        <f aca="false">((SummaryReport!F28)/22)*60</f>
        <v>100.909090909091</v>
      </c>
      <c r="P17" s="97" t="n">
        <f aca="false">1-N17/O17</f>
        <v>0.0198990198990199</v>
      </c>
      <c r="Q17" s="88"/>
      <c r="R17" s="89"/>
    </row>
    <row r="18" customFormat="false" ht="15" hidden="false" customHeight="true" outlineLevel="0" collapsed="false">
      <c r="E18" s="90" t="s">
        <v>121</v>
      </c>
      <c r="F18" s="99"/>
      <c r="G18" s="95" t="n">
        <f aca="false">SUM(G6:G17)</f>
        <v>2958.18014277301</v>
      </c>
      <c r="H18" s="96" t="n">
        <f aca="false">SUM(H6:H17)</f>
        <v>2934</v>
      </c>
      <c r="I18" s="97" t="n">
        <f aca="false">1-G18/H18</f>
        <v>-0.00824135745501398</v>
      </c>
      <c r="L18" s="90" t="s">
        <v>121</v>
      </c>
      <c r="M18" s="99"/>
      <c r="N18" s="95" t="n">
        <f aca="false">SUM(N6:N17)</f>
        <v>2958.18014277301</v>
      </c>
      <c r="O18" s="98" t="n">
        <f aca="false">((SummaryReport!F40)/22)*60</f>
        <v>2983.63636363636</v>
      </c>
      <c r="P18" s="97" t="n">
        <f aca="false">1-N18/O18</f>
        <v>0.00853194483537101</v>
      </c>
      <c r="Q18" s="88"/>
      <c r="R18" s="89"/>
    </row>
    <row r="20" customFormat="false" ht="15" hidden="false" customHeight="false" outlineLevel="0" collapsed="false"/>
    <row r="22" customFormat="false" ht="15" hidden="false" customHeight="false" outlineLevel="0" collapsed="false">
      <c r="E22" s="80" t="s">
        <v>222</v>
      </c>
      <c r="F22" s="80"/>
      <c r="G22" s="80"/>
      <c r="H22" s="80"/>
      <c r="I22" s="80"/>
      <c r="L22" s="80" t="s">
        <v>223</v>
      </c>
      <c r="M22" s="80"/>
      <c r="N22" s="80"/>
      <c r="O22" s="80"/>
      <c r="P22" s="80"/>
    </row>
    <row r="23" customFormat="false" ht="15" hidden="false" customHeight="false" outlineLevel="0" collapsed="false"/>
    <row r="24" customFormat="false" ht="27.7" hidden="false" customHeight="false" outlineLevel="0" collapsed="false">
      <c r="E24" s="81" t="s">
        <v>217</v>
      </c>
      <c r="F24" s="81" t="s">
        <v>218</v>
      </c>
      <c r="G24" s="81" t="s">
        <v>219</v>
      </c>
      <c r="H24" s="81" t="s">
        <v>220</v>
      </c>
      <c r="I24" s="81" t="s">
        <v>221</v>
      </c>
      <c r="L24" s="81" t="s">
        <v>217</v>
      </c>
      <c r="M24" s="81" t="s">
        <v>218</v>
      </c>
      <c r="N24" s="81" t="s">
        <v>219</v>
      </c>
      <c r="O24" s="81" t="s">
        <v>220</v>
      </c>
      <c r="P24" s="81" t="s">
        <v>221</v>
      </c>
    </row>
    <row r="25" customFormat="false" ht="15" hidden="false" customHeight="false" outlineLevel="0" collapsed="false">
      <c r="E25" s="82" t="s">
        <v>20</v>
      </c>
      <c r="F25" s="83" t="s">
        <v>51</v>
      </c>
      <c r="G25" s="84" t="n">
        <f aca="false">'Автоматизированный расчет'!C39</f>
        <v>525.966060043141</v>
      </c>
      <c r="H25" s="100" t="n">
        <v>2106</v>
      </c>
      <c r="I25" s="86" t="n">
        <f aca="false">H25/G25</f>
        <v>4.0040606419115</v>
      </c>
      <c r="L25" s="82" t="s">
        <v>20</v>
      </c>
      <c r="M25" s="83" t="s">
        <v>51</v>
      </c>
      <c r="N25" s="84" t="n">
        <f aca="false">'Автоматизированный расчет'!C39</f>
        <v>525.966060043141</v>
      </c>
      <c r="O25" s="100"/>
      <c r="P25" s="86" t="n">
        <f aca="false">O25/N25</f>
        <v>0</v>
      </c>
    </row>
    <row r="26" customFormat="false" ht="15" hidden="false" customHeight="false" outlineLevel="0" collapsed="false">
      <c r="E26" s="90" t="s">
        <v>21</v>
      </c>
      <c r="F26" s="83" t="s">
        <v>52</v>
      </c>
      <c r="G26" s="84" t="n">
        <f aca="false">'Автоматизированный расчет'!C40</f>
        <v>427.064961142042</v>
      </c>
      <c r="H26" s="100" t="n">
        <v>1707</v>
      </c>
      <c r="I26" s="86" t="n">
        <f aca="false">H26/G26</f>
        <v>3.99704999313266</v>
      </c>
      <c r="L26" s="90" t="s">
        <v>21</v>
      </c>
      <c r="M26" s="83" t="s">
        <v>52</v>
      </c>
      <c r="N26" s="84" t="n">
        <f aca="false">'Автоматизированный расчет'!C40</f>
        <v>427.064961142042</v>
      </c>
      <c r="O26" s="100"/>
      <c r="P26" s="86" t="n">
        <f aca="false">O26/N26</f>
        <v>0</v>
      </c>
    </row>
    <row r="27" customFormat="false" ht="15" hidden="false" customHeight="false" outlineLevel="0" collapsed="false">
      <c r="E27" s="91" t="s">
        <v>24</v>
      </c>
      <c r="F27" s="83" t="s">
        <v>53</v>
      </c>
      <c r="G27" s="84" t="n">
        <f aca="false">'Автоматизированный расчет'!C41</f>
        <v>305.746792579779</v>
      </c>
      <c r="H27" s="100" t="n">
        <v>1218</v>
      </c>
      <c r="I27" s="86" t="n">
        <f aca="false">H27/G27</f>
        <v>3.9836885604685</v>
      </c>
      <c r="L27" s="91" t="s">
        <v>24</v>
      </c>
      <c r="M27" s="83" t="s">
        <v>53</v>
      </c>
      <c r="N27" s="84" t="n">
        <f aca="false">'Автоматизированный расчет'!C41</f>
        <v>305.746792579779</v>
      </c>
      <c r="O27" s="100"/>
      <c r="P27" s="86" t="n">
        <f aca="false">O27/N27</f>
        <v>0</v>
      </c>
    </row>
    <row r="28" customFormat="false" ht="15" hidden="false" customHeight="false" outlineLevel="0" collapsed="false">
      <c r="E28" s="90" t="s">
        <v>27</v>
      </c>
      <c r="F28" s="83" t="s">
        <v>54</v>
      </c>
      <c r="G28" s="84" t="n">
        <f aca="false">'Автоматизированный расчет'!C42</f>
        <v>275.896046311122</v>
      </c>
      <c r="H28" s="100" t="n">
        <v>1098</v>
      </c>
      <c r="I28" s="86" t="n">
        <f aca="false">H28/G28</f>
        <v>3.97975982142857</v>
      </c>
      <c r="L28" s="90" t="s">
        <v>27</v>
      </c>
      <c r="M28" s="83" t="s">
        <v>54</v>
      </c>
      <c r="N28" s="84" t="n">
        <f aca="false">'Автоматизированный расчет'!C42</f>
        <v>275.896046311122</v>
      </c>
      <c r="O28" s="100"/>
      <c r="P28" s="86" t="n">
        <f aca="false">O28/N28</f>
        <v>0</v>
      </c>
    </row>
    <row r="29" customFormat="false" ht="15" hidden="false" customHeight="false" outlineLevel="0" collapsed="false">
      <c r="E29" s="90" t="s">
        <v>22</v>
      </c>
      <c r="F29" s="83" t="s">
        <v>55</v>
      </c>
      <c r="G29" s="84" t="n">
        <f aca="false">'Автоматизированный расчет'!C43</f>
        <v>275.896046311122</v>
      </c>
      <c r="H29" s="101" t="n">
        <v>1095</v>
      </c>
      <c r="I29" s="86" t="n">
        <f aca="false">H29/G29</f>
        <v>3.96888616071429</v>
      </c>
      <c r="L29" s="90" t="s">
        <v>22</v>
      </c>
      <c r="M29" s="83" t="s">
        <v>55</v>
      </c>
      <c r="N29" s="84" t="n">
        <f aca="false">'Автоматизированный расчет'!C43</f>
        <v>275.896046311122</v>
      </c>
      <c r="O29" s="101"/>
      <c r="P29" s="86" t="n">
        <f aca="false">O29/N29</f>
        <v>0</v>
      </c>
    </row>
    <row r="30" customFormat="false" ht="15" hidden="false" customHeight="false" outlineLevel="0" collapsed="false">
      <c r="E30" s="90" t="s">
        <v>29</v>
      </c>
      <c r="F30" s="83" t="s">
        <v>56</v>
      </c>
      <c r="G30" s="84" t="n">
        <f aca="false">'Автоматизированный расчет'!C44</f>
        <v>173.913043478261</v>
      </c>
      <c r="H30" s="100" t="n">
        <v>690</v>
      </c>
      <c r="I30" s="86" t="n">
        <f aca="false">H30/G30</f>
        <v>3.9675</v>
      </c>
      <c r="L30" s="90" t="s">
        <v>29</v>
      </c>
      <c r="M30" s="83" t="s">
        <v>56</v>
      </c>
      <c r="N30" s="84" t="n">
        <f aca="false">'Автоматизированный расчет'!C44</f>
        <v>173.913043478261</v>
      </c>
      <c r="O30" s="100"/>
      <c r="P30" s="86" t="n">
        <f aca="false">O30/N30</f>
        <v>0</v>
      </c>
    </row>
    <row r="31" customFormat="false" ht="15" hidden="false" customHeight="false" outlineLevel="0" collapsed="false">
      <c r="E31" s="90" t="s">
        <v>33</v>
      </c>
      <c r="F31" s="83" t="s">
        <v>57</v>
      </c>
      <c r="G31" s="84" t="n">
        <f aca="false">'Автоматизированный расчет'!C45</f>
        <v>277.837863820992</v>
      </c>
      <c r="H31" s="101" t="n">
        <v>1116</v>
      </c>
      <c r="I31" s="86" t="n">
        <f aca="false">H31/G31</f>
        <v>4.01673114186851</v>
      </c>
      <c r="L31" s="90" t="s">
        <v>33</v>
      </c>
      <c r="M31" s="83" t="s">
        <v>57</v>
      </c>
      <c r="N31" s="84" t="n">
        <f aca="false">'Автоматизированный расчет'!C45</f>
        <v>277.837863820992</v>
      </c>
      <c r="O31" s="101"/>
      <c r="P31" s="86" t="n">
        <f aca="false">O31/N31</f>
        <v>0</v>
      </c>
    </row>
    <row r="32" customFormat="false" ht="15" hidden="false" customHeight="false" outlineLevel="0" collapsed="false">
      <c r="E32" s="90" t="s">
        <v>31</v>
      </c>
      <c r="F32" s="83" t="s">
        <v>58</v>
      </c>
      <c r="G32" s="84" t="n">
        <f aca="false">'Автоматизированный расчет'!C46</f>
        <v>74.0740740740741</v>
      </c>
      <c r="H32" s="101" t="n">
        <v>300</v>
      </c>
      <c r="I32" s="86" t="n">
        <f aca="false">H32/G32</f>
        <v>4.05</v>
      </c>
      <c r="L32" s="90" t="s">
        <v>31</v>
      </c>
      <c r="M32" s="83" t="s">
        <v>58</v>
      </c>
      <c r="N32" s="84" t="n">
        <f aca="false">'Автоматизированный расчет'!C46</f>
        <v>74.0740740740741</v>
      </c>
      <c r="O32" s="101"/>
      <c r="P32" s="86" t="n">
        <f aca="false">O32/N32</f>
        <v>0</v>
      </c>
    </row>
    <row r="33" customFormat="false" ht="15" hidden="false" customHeight="false" outlineLevel="0" collapsed="false">
      <c r="E33" s="90" t="s">
        <v>25</v>
      </c>
      <c r="F33" s="83" t="s">
        <v>59</v>
      </c>
      <c r="G33" s="84" t="n">
        <f aca="false">'Автоматизированный расчет'!C47</f>
        <v>325.081958309181</v>
      </c>
      <c r="H33" s="101" t="n">
        <v>1302</v>
      </c>
      <c r="I33" s="86" t="n">
        <f aca="false">H33/G33</f>
        <v>4.00514383133402</v>
      </c>
      <c r="L33" s="90" t="s">
        <v>25</v>
      </c>
      <c r="M33" s="83" t="s">
        <v>59</v>
      </c>
      <c r="N33" s="84" t="n">
        <f aca="false">'Автоматизированный расчет'!C47</f>
        <v>325.081958309181</v>
      </c>
      <c r="O33" s="101"/>
      <c r="P33" s="86" t="n">
        <f aca="false">O33/N33</f>
        <v>0</v>
      </c>
    </row>
    <row r="34" customFormat="false" ht="15" hidden="false" customHeight="false" outlineLevel="0" collapsed="false">
      <c r="E34" s="90" t="s">
        <v>34</v>
      </c>
      <c r="F34" s="83" t="s">
        <v>60</v>
      </c>
      <c r="G34" s="84" t="n">
        <f aca="false">'Автоматизированный расчет'!C48</f>
        <v>98.9010989010989</v>
      </c>
      <c r="H34" s="101" t="n">
        <v>396</v>
      </c>
      <c r="I34" s="86" t="n">
        <f aca="false">H34/G34</f>
        <v>4.004</v>
      </c>
      <c r="L34" s="90" t="s">
        <v>34</v>
      </c>
      <c r="M34" s="83" t="s">
        <v>60</v>
      </c>
      <c r="N34" s="84" t="n">
        <f aca="false">'Автоматизированный расчет'!C48</f>
        <v>98.9010989010989</v>
      </c>
      <c r="O34" s="101"/>
      <c r="P34" s="86" t="n">
        <f aca="false">O34/N34</f>
        <v>0</v>
      </c>
    </row>
    <row r="35" customFormat="false" ht="15" hidden="false" customHeight="true" outlineLevel="0" collapsed="false">
      <c r="E35" s="90" t="s">
        <v>35</v>
      </c>
      <c r="F35" s="83" t="s">
        <v>61</v>
      </c>
      <c r="G35" s="84" t="n">
        <f aca="false">'Автоматизированный расчет'!C49</f>
        <v>98.9010989010989</v>
      </c>
      <c r="H35" s="101" t="n">
        <v>396</v>
      </c>
      <c r="I35" s="86" t="n">
        <f aca="false">H35/G35</f>
        <v>4.004</v>
      </c>
      <c r="L35" s="90" t="s">
        <v>35</v>
      </c>
      <c r="M35" s="83" t="s">
        <v>61</v>
      </c>
      <c r="N35" s="84" t="n">
        <f aca="false">'Автоматизированный расчет'!C49</f>
        <v>98.9010989010989</v>
      </c>
      <c r="O35" s="101"/>
      <c r="P35" s="86" t="n">
        <f aca="false">O35/N35</f>
        <v>0</v>
      </c>
    </row>
    <row r="36" customFormat="false" ht="15" hidden="false" customHeight="false" outlineLevel="0" collapsed="false">
      <c r="E36" s="90" t="s">
        <v>36</v>
      </c>
      <c r="F36" s="83" t="s">
        <v>62</v>
      </c>
      <c r="G36" s="84" t="n">
        <f aca="false">'Автоматизированный расчет'!C50</f>
        <v>98.9010989010989</v>
      </c>
      <c r="H36" s="101" t="n">
        <v>396</v>
      </c>
      <c r="I36" s="86" t="n">
        <f aca="false">H36/G36</f>
        <v>4.004</v>
      </c>
      <c r="L36" s="90" t="s">
        <v>36</v>
      </c>
      <c r="M36" s="83" t="s">
        <v>62</v>
      </c>
      <c r="N36" s="84" t="n">
        <f aca="false">'Автоматизированный расчет'!C50</f>
        <v>98.9010989010989</v>
      </c>
      <c r="O36" s="101"/>
      <c r="P36" s="86" t="n">
        <f aca="false">O36/N36</f>
        <v>0</v>
      </c>
    </row>
    <row r="37" customFormat="false" ht="15" hidden="false" customHeight="false" outlineLevel="0" collapsed="false">
      <c r="E37" s="90" t="s">
        <v>121</v>
      </c>
      <c r="F37" s="99"/>
      <c r="G37" s="95" t="n">
        <f aca="false">SUM(G25:G36)</f>
        <v>2958.18014277301</v>
      </c>
      <c r="H37" s="101" t="n">
        <v>11820</v>
      </c>
      <c r="I37" s="86" t="n">
        <f aca="false">H37/G37</f>
        <v>3.99569986597229</v>
      </c>
      <c r="L37" s="90" t="s">
        <v>121</v>
      </c>
      <c r="M37" s="99"/>
      <c r="N37" s="95" t="n">
        <f aca="false">SUM(N25:N36)</f>
        <v>2958.18014277301</v>
      </c>
      <c r="O37" s="101"/>
      <c r="P37" s="86" t="n">
        <f aca="false">O37/N37</f>
        <v>0</v>
      </c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>
      <c r="B40" s="1"/>
      <c r="C40" s="1"/>
      <c r="D40" s="1"/>
      <c r="E40" s="1"/>
      <c r="F40" s="1"/>
      <c r="G40" s="1"/>
      <c r="H40" s="1"/>
      <c r="L40" s="1"/>
      <c r="M40" s="1"/>
      <c r="N40" s="1"/>
      <c r="O40" s="1"/>
    </row>
    <row r="41" customFormat="false" ht="15" hidden="false" customHeight="false" outlineLevel="0" collapsed="false">
      <c r="B41" s="1"/>
      <c r="C41" s="1"/>
      <c r="D41" s="1"/>
      <c r="E41" s="80" t="s">
        <v>224</v>
      </c>
      <c r="F41" s="80"/>
      <c r="G41" s="80"/>
      <c r="H41" s="80"/>
      <c r="I41" s="80"/>
      <c r="L41" s="80" t="s">
        <v>224</v>
      </c>
      <c r="M41" s="80"/>
      <c r="N41" s="80"/>
      <c r="O41" s="80"/>
      <c r="P41" s="80"/>
    </row>
    <row r="42" customFormat="false" ht="15" hidden="false" customHeight="false" outlineLevel="0" collapsed="false">
      <c r="B42" s="1"/>
      <c r="C42" s="1"/>
    </row>
    <row r="43" customFormat="false" ht="27.7" hidden="false" customHeight="false" outlineLevel="0" collapsed="false">
      <c r="B43" s="1"/>
      <c r="C43" s="1"/>
      <c r="E43" s="81" t="s">
        <v>217</v>
      </c>
      <c r="F43" s="81" t="s">
        <v>218</v>
      </c>
      <c r="G43" s="81" t="s">
        <v>219</v>
      </c>
      <c r="H43" s="81" t="s">
        <v>220</v>
      </c>
      <c r="I43" s="81" t="s">
        <v>221</v>
      </c>
      <c r="L43" s="81" t="s">
        <v>217</v>
      </c>
      <c r="M43" s="81" t="s">
        <v>218</v>
      </c>
      <c r="N43" s="81" t="s">
        <v>219</v>
      </c>
      <c r="O43" s="81" t="s">
        <v>220</v>
      </c>
      <c r="P43" s="81" t="s">
        <v>221</v>
      </c>
    </row>
    <row r="44" customFormat="false" ht="15" hidden="false" customHeight="false" outlineLevel="0" collapsed="false">
      <c r="B44" s="1"/>
      <c r="C44" s="1"/>
      <c r="E44" s="82" t="s">
        <v>20</v>
      </c>
      <c r="F44" s="83" t="s">
        <v>51</v>
      </c>
      <c r="G44" s="84" t="n">
        <f aca="false">'Автоматизированный расчет'!C39</f>
        <v>525.966060043141</v>
      </c>
      <c r="H44" s="100" t="n">
        <v>2099</v>
      </c>
      <c r="I44" s="86" t="n">
        <f aca="false">H44/G44</f>
        <v>3.99075179837238</v>
      </c>
      <c r="L44" s="82" t="s">
        <v>20</v>
      </c>
      <c r="M44" s="83" t="s">
        <v>51</v>
      </c>
      <c r="N44" s="84" t="n">
        <f aca="false">'Автоматизированный расчет'!C39</f>
        <v>525.966060043141</v>
      </c>
      <c r="O44" s="100"/>
      <c r="P44" s="86" t="n">
        <f aca="false">O44/N44</f>
        <v>0</v>
      </c>
    </row>
    <row r="45" customFormat="false" ht="15" hidden="false" customHeight="false" outlineLevel="0" collapsed="false">
      <c r="B45" s="1"/>
      <c r="C45" s="1"/>
      <c r="E45" s="90" t="s">
        <v>21</v>
      </c>
      <c r="F45" s="83" t="s">
        <v>52</v>
      </c>
      <c r="G45" s="84" t="n">
        <f aca="false">'Автоматизированный расчет'!C40</f>
        <v>427.064961142042</v>
      </c>
      <c r="H45" s="100" t="n">
        <v>1703</v>
      </c>
      <c r="I45" s="86" t="n">
        <f aca="false">H45/G45</f>
        <v>3.98768373655825</v>
      </c>
      <c r="L45" s="90" t="s">
        <v>21</v>
      </c>
      <c r="M45" s="83" t="s">
        <v>52</v>
      </c>
      <c r="N45" s="84" t="n">
        <f aca="false">'Автоматизированный расчет'!C40</f>
        <v>427.064961142042</v>
      </c>
      <c r="O45" s="100"/>
      <c r="P45" s="86" t="n">
        <f aca="false">O45/N45</f>
        <v>0</v>
      </c>
    </row>
    <row r="46" customFormat="false" ht="15" hidden="false" customHeight="false" outlineLevel="0" collapsed="false">
      <c r="B46" s="1"/>
      <c r="C46" s="1"/>
      <c r="E46" s="91" t="s">
        <v>24</v>
      </c>
      <c r="F46" s="83" t="s">
        <v>53</v>
      </c>
      <c r="G46" s="84" t="n">
        <f aca="false">'Автоматизированный расчет'!C41</f>
        <v>305.746792579779</v>
      </c>
      <c r="H46" s="100" t="n">
        <v>1217</v>
      </c>
      <c r="I46" s="86" t="n">
        <f aca="false">H46/G46</f>
        <v>3.98041788020539</v>
      </c>
      <c r="L46" s="91" t="s">
        <v>24</v>
      </c>
      <c r="M46" s="83" t="s">
        <v>53</v>
      </c>
      <c r="N46" s="84" t="n">
        <f aca="false">'Автоматизированный расчет'!C41</f>
        <v>305.746792579779</v>
      </c>
      <c r="O46" s="100"/>
      <c r="P46" s="86" t="n">
        <f aca="false">O46/N46</f>
        <v>0</v>
      </c>
    </row>
    <row r="47" customFormat="false" ht="15" hidden="false" customHeight="false" outlineLevel="0" collapsed="false">
      <c r="B47" s="1"/>
      <c r="C47" s="1"/>
      <c r="E47" s="90" t="s">
        <v>27</v>
      </c>
      <c r="F47" s="83" t="s">
        <v>54</v>
      </c>
      <c r="G47" s="84" t="n">
        <f aca="false">'Автоматизированный расчет'!C42</f>
        <v>275.896046311122</v>
      </c>
      <c r="H47" s="100" t="n">
        <v>1098</v>
      </c>
      <c r="I47" s="86" t="n">
        <f aca="false">H47/G47</f>
        <v>3.97975982142857</v>
      </c>
      <c r="L47" s="90" t="s">
        <v>27</v>
      </c>
      <c r="M47" s="83" t="s">
        <v>54</v>
      </c>
      <c r="N47" s="84" t="n">
        <f aca="false">'Автоматизированный расчет'!C42</f>
        <v>275.896046311122</v>
      </c>
      <c r="O47" s="100"/>
      <c r="P47" s="86" t="n">
        <f aca="false">O47/N47</f>
        <v>0</v>
      </c>
    </row>
    <row r="48" customFormat="false" ht="15" hidden="false" customHeight="false" outlineLevel="0" collapsed="false">
      <c r="B48" s="1"/>
      <c r="C48" s="1"/>
      <c r="E48" s="90" t="s">
        <v>22</v>
      </c>
      <c r="F48" s="83" t="s">
        <v>55</v>
      </c>
      <c r="G48" s="84" t="n">
        <f aca="false">'Автоматизированный расчет'!C43</f>
        <v>275.896046311122</v>
      </c>
      <c r="H48" s="101" t="n">
        <v>1100</v>
      </c>
      <c r="I48" s="86" t="n">
        <f aca="false">H48/G48</f>
        <v>3.98700892857143</v>
      </c>
      <c r="L48" s="90" t="s">
        <v>22</v>
      </c>
      <c r="M48" s="83" t="s">
        <v>55</v>
      </c>
      <c r="N48" s="84" t="n">
        <f aca="false">'Автоматизированный расчет'!C43</f>
        <v>275.896046311122</v>
      </c>
      <c r="O48" s="101"/>
      <c r="P48" s="86" t="n">
        <f aca="false">O48/N48</f>
        <v>0</v>
      </c>
    </row>
    <row r="49" customFormat="false" ht="15" hidden="false" customHeight="true" outlineLevel="0" collapsed="false">
      <c r="B49" s="1"/>
      <c r="C49" s="1"/>
      <c r="E49" s="90" t="s">
        <v>29</v>
      </c>
      <c r="F49" s="83" t="s">
        <v>56</v>
      </c>
      <c r="G49" s="84" t="n">
        <f aca="false">'Автоматизированный расчет'!C44</f>
        <v>173.913043478261</v>
      </c>
      <c r="H49" s="100" t="n">
        <v>692</v>
      </c>
      <c r="I49" s="86" t="n">
        <f aca="false">H49/G49</f>
        <v>3.979</v>
      </c>
      <c r="L49" s="90" t="s">
        <v>29</v>
      </c>
      <c r="M49" s="83" t="s">
        <v>56</v>
      </c>
      <c r="N49" s="84" t="n">
        <f aca="false">'Автоматизированный расчет'!C44</f>
        <v>173.913043478261</v>
      </c>
      <c r="O49" s="100"/>
      <c r="P49" s="86" t="n">
        <f aca="false">O49/N49</f>
        <v>0</v>
      </c>
    </row>
    <row r="50" customFormat="false" ht="15" hidden="false" customHeight="true" outlineLevel="0" collapsed="false">
      <c r="E50" s="90" t="s">
        <v>33</v>
      </c>
      <c r="F50" s="83" t="s">
        <v>57</v>
      </c>
      <c r="G50" s="84" t="n">
        <f aca="false">'Автоматизированный расчет'!C45</f>
        <v>277.837863820992</v>
      </c>
      <c r="H50" s="101" t="n">
        <v>1105</v>
      </c>
      <c r="I50" s="86" t="n">
        <f aca="false">H50/G50</f>
        <v>3.97713970588235</v>
      </c>
      <c r="L50" s="90" t="s">
        <v>33</v>
      </c>
      <c r="M50" s="83" t="s">
        <v>57</v>
      </c>
      <c r="N50" s="84" t="n">
        <f aca="false">'Автоматизированный расчет'!C45</f>
        <v>277.837863820992</v>
      </c>
      <c r="O50" s="101"/>
      <c r="P50" s="86" t="n">
        <f aca="false">O50/N50</f>
        <v>0</v>
      </c>
    </row>
    <row r="51" customFormat="false" ht="15" hidden="false" customHeight="false" outlineLevel="0" collapsed="false">
      <c r="E51" s="90" t="s">
        <v>31</v>
      </c>
      <c r="F51" s="83" t="s">
        <v>58</v>
      </c>
      <c r="G51" s="84" t="n">
        <f aca="false">'Автоматизированный расчет'!C46</f>
        <v>74.0740740740741</v>
      </c>
      <c r="H51" s="101" t="n">
        <v>294</v>
      </c>
      <c r="I51" s="86" t="n">
        <f aca="false">H51/G51</f>
        <v>3.969</v>
      </c>
      <c r="L51" s="90" t="s">
        <v>31</v>
      </c>
      <c r="M51" s="83" t="s">
        <v>58</v>
      </c>
      <c r="N51" s="84" t="n">
        <f aca="false">'Автоматизированный расчет'!C46</f>
        <v>74.0740740740741</v>
      </c>
      <c r="O51" s="101"/>
      <c r="P51" s="86" t="n">
        <f aca="false">O51/N51</f>
        <v>0</v>
      </c>
    </row>
    <row r="52" customFormat="false" ht="15" hidden="false" customHeight="true" outlineLevel="0" collapsed="false">
      <c r="E52" s="90" t="s">
        <v>25</v>
      </c>
      <c r="F52" s="83" t="s">
        <v>59</v>
      </c>
      <c r="G52" s="84" t="n">
        <f aca="false">'Автоматизированный расчет'!C47</f>
        <v>325.081958309181</v>
      </c>
      <c r="H52" s="101" t="n">
        <v>1295</v>
      </c>
      <c r="I52" s="86" t="n">
        <f aca="false">H52/G52</f>
        <v>3.98361079998276</v>
      </c>
      <c r="L52" s="90" t="s">
        <v>25</v>
      </c>
      <c r="M52" s="83" t="s">
        <v>59</v>
      </c>
      <c r="N52" s="84" t="n">
        <f aca="false">'Автоматизированный расчет'!C47</f>
        <v>325.081958309181</v>
      </c>
      <c r="O52" s="101"/>
      <c r="P52" s="86" t="n">
        <f aca="false">O52/N52</f>
        <v>0</v>
      </c>
    </row>
    <row r="53" customFormat="false" ht="15" hidden="false" customHeight="false" outlineLevel="0" collapsed="false">
      <c r="E53" s="90" t="s">
        <v>34</v>
      </c>
      <c r="F53" s="83" t="s">
        <v>60</v>
      </c>
      <c r="G53" s="84" t="n">
        <f aca="false">'Автоматизированный расчет'!C48</f>
        <v>98.9010989010989</v>
      </c>
      <c r="H53" s="101" t="n">
        <v>394</v>
      </c>
      <c r="I53" s="86" t="n">
        <f aca="false">H53/G53</f>
        <v>3.98377777777778</v>
      </c>
      <c r="L53" s="90" t="s">
        <v>34</v>
      </c>
      <c r="M53" s="83" t="s">
        <v>60</v>
      </c>
      <c r="N53" s="84" t="n">
        <f aca="false">'Автоматизированный расчет'!C48</f>
        <v>98.9010989010989</v>
      </c>
      <c r="O53" s="101"/>
      <c r="P53" s="86" t="n">
        <f aca="false">O53/N53</f>
        <v>0</v>
      </c>
    </row>
    <row r="54" customFormat="false" ht="15" hidden="false" customHeight="false" outlineLevel="0" collapsed="false">
      <c r="E54" s="90" t="s">
        <v>35</v>
      </c>
      <c r="F54" s="83" t="s">
        <v>61</v>
      </c>
      <c r="G54" s="84" t="n">
        <f aca="false">'Автоматизированный расчет'!C49</f>
        <v>98.9010989010989</v>
      </c>
      <c r="H54" s="101" t="n">
        <v>394</v>
      </c>
      <c r="I54" s="86" t="n">
        <f aca="false">H54/G54</f>
        <v>3.98377777777778</v>
      </c>
      <c r="L54" s="90" t="s">
        <v>35</v>
      </c>
      <c r="M54" s="83" t="s">
        <v>61</v>
      </c>
      <c r="N54" s="84" t="n">
        <f aca="false">'Автоматизированный расчет'!C49</f>
        <v>98.9010989010989</v>
      </c>
      <c r="O54" s="101"/>
      <c r="P54" s="86" t="n">
        <f aca="false">O54/N54</f>
        <v>0</v>
      </c>
    </row>
    <row r="55" customFormat="false" ht="15" hidden="false" customHeight="false" outlineLevel="0" collapsed="false">
      <c r="E55" s="90" t="s">
        <v>36</v>
      </c>
      <c r="F55" s="83" t="s">
        <v>62</v>
      </c>
      <c r="G55" s="84" t="n">
        <f aca="false">'Автоматизированный расчет'!C50</f>
        <v>98.9010989010989</v>
      </c>
      <c r="H55" s="101" t="n">
        <v>395</v>
      </c>
      <c r="I55" s="86" t="n">
        <f aca="false">H55/G55</f>
        <v>3.99388888888889</v>
      </c>
      <c r="L55" s="90" t="s">
        <v>36</v>
      </c>
      <c r="M55" s="83" t="s">
        <v>62</v>
      </c>
      <c r="N55" s="84" t="n">
        <f aca="false">'Автоматизированный расчет'!C50</f>
        <v>98.9010989010989</v>
      </c>
      <c r="O55" s="101"/>
      <c r="P55" s="86" t="n">
        <f aca="false">O55/N55</f>
        <v>0</v>
      </c>
    </row>
    <row r="56" customFormat="false" ht="15" hidden="false" customHeight="false" outlineLevel="0" collapsed="false">
      <c r="E56" s="90" t="s">
        <v>121</v>
      </c>
      <c r="F56" s="99"/>
      <c r="G56" s="95" t="n">
        <f aca="false">SUM(G44:G55)</f>
        <v>2958.18014277301</v>
      </c>
      <c r="H56" s="101" t="n">
        <v>11786</v>
      </c>
      <c r="I56" s="86" t="n">
        <f aca="false">H56/G56</f>
        <v>3.98420631305832</v>
      </c>
      <c r="L56" s="90" t="s">
        <v>121</v>
      </c>
      <c r="M56" s="99"/>
      <c r="N56" s="95" t="n">
        <f aca="false">SUM(N44:N55)</f>
        <v>2958.18014277301</v>
      </c>
      <c r="O56" s="101"/>
      <c r="P56" s="86" t="n">
        <f aca="false">O56/N56</f>
        <v>0</v>
      </c>
    </row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>
      <c r="E60" s="102" t="s">
        <v>225</v>
      </c>
      <c r="F60" s="102"/>
      <c r="G60" s="102"/>
      <c r="H60" s="102"/>
      <c r="I60" s="102"/>
      <c r="L60" s="102" t="s">
        <v>225</v>
      </c>
      <c r="M60" s="102"/>
      <c r="N60" s="102"/>
      <c r="O60" s="102"/>
      <c r="P60" s="102"/>
    </row>
    <row r="61" customFormat="false" ht="15" hidden="false" customHeight="false" outlineLevel="0" collapsed="false"/>
    <row r="62" customFormat="false" ht="27.7" hidden="false" customHeight="false" outlineLevel="0" collapsed="false">
      <c r="E62" s="81" t="s">
        <v>217</v>
      </c>
      <c r="F62" s="81" t="s">
        <v>218</v>
      </c>
      <c r="G62" s="81" t="s">
        <v>219</v>
      </c>
      <c r="H62" s="81" t="s">
        <v>220</v>
      </c>
      <c r="I62" s="81" t="s">
        <v>221</v>
      </c>
      <c r="L62" s="81" t="s">
        <v>217</v>
      </c>
      <c r="M62" s="81" t="s">
        <v>218</v>
      </c>
      <c r="N62" s="81" t="s">
        <v>219</v>
      </c>
      <c r="O62" s="81" t="s">
        <v>220</v>
      </c>
      <c r="P62" s="81" t="s">
        <v>221</v>
      </c>
    </row>
    <row r="63" customFormat="false" ht="15" hidden="false" customHeight="false" outlineLevel="0" collapsed="false">
      <c r="E63" s="82" t="s">
        <v>20</v>
      </c>
      <c r="F63" s="83" t="s">
        <v>51</v>
      </c>
      <c r="G63" s="84" t="n">
        <f aca="false">'Автоматизированный расчет'!C39</f>
        <v>525.966060043141</v>
      </c>
      <c r="H63" s="100" t="n">
        <v>2625</v>
      </c>
      <c r="I63" s="86" t="n">
        <f aca="false">H63/G63</f>
        <v>4.99081632716889</v>
      </c>
      <c r="L63" s="82" t="s">
        <v>20</v>
      </c>
      <c r="M63" s="83" t="s">
        <v>51</v>
      </c>
      <c r="N63" s="84" t="n">
        <f aca="false">'Автоматизированный расчет'!C39</f>
        <v>525.966060043141</v>
      </c>
      <c r="O63" s="100"/>
      <c r="P63" s="86" t="n">
        <f aca="false">O63/N63</f>
        <v>0</v>
      </c>
    </row>
    <row r="64" customFormat="false" ht="15" hidden="false" customHeight="false" outlineLevel="0" collapsed="false">
      <c r="E64" s="90" t="s">
        <v>21</v>
      </c>
      <c r="F64" s="83" t="s">
        <v>52</v>
      </c>
      <c r="G64" s="84" t="n">
        <f aca="false">'Автоматизированный расчет'!C40</f>
        <v>427.064961142042</v>
      </c>
      <c r="H64" s="100" t="n">
        <v>2160</v>
      </c>
      <c r="I64" s="86" t="n">
        <f aca="false">H64/G64</f>
        <v>5.05777855018544</v>
      </c>
      <c r="L64" s="90" t="s">
        <v>21</v>
      </c>
      <c r="M64" s="83" t="s">
        <v>52</v>
      </c>
      <c r="N64" s="84" t="n">
        <f aca="false">'Автоматизированный расчет'!C40</f>
        <v>427.064961142042</v>
      </c>
      <c r="O64" s="100"/>
      <c r="P64" s="86" t="n">
        <f aca="false">O64/N64</f>
        <v>0</v>
      </c>
    </row>
    <row r="65" customFormat="false" ht="15" hidden="false" customHeight="true" outlineLevel="0" collapsed="false">
      <c r="E65" s="91" t="s">
        <v>24</v>
      </c>
      <c r="F65" s="83" t="s">
        <v>53</v>
      </c>
      <c r="G65" s="84" t="n">
        <f aca="false">'Автоматизированный расчет'!C41</f>
        <v>305.746792579779</v>
      </c>
      <c r="H65" s="100" t="n">
        <v>1545</v>
      </c>
      <c r="I65" s="86" t="n">
        <f aca="false">H65/G65</f>
        <v>5.05320100650561</v>
      </c>
      <c r="L65" s="91" t="s">
        <v>24</v>
      </c>
      <c r="M65" s="83" t="s">
        <v>53</v>
      </c>
      <c r="N65" s="84" t="n">
        <f aca="false">'Автоматизированный расчет'!C41</f>
        <v>305.746792579779</v>
      </c>
      <c r="O65" s="100"/>
      <c r="P65" s="86" t="n">
        <f aca="false">O65/N65</f>
        <v>0</v>
      </c>
    </row>
    <row r="66" customFormat="false" ht="15" hidden="false" customHeight="true" outlineLevel="0" collapsed="false">
      <c r="E66" s="90" t="s">
        <v>27</v>
      </c>
      <c r="F66" s="83" t="s">
        <v>54</v>
      </c>
      <c r="G66" s="84" t="n">
        <f aca="false">'Автоматизированный расчет'!C42</f>
        <v>275.896046311122</v>
      </c>
      <c r="H66" s="100" t="n">
        <v>1365</v>
      </c>
      <c r="I66" s="86" t="n">
        <f aca="false">H66/G66</f>
        <v>4.947515625</v>
      </c>
      <c r="L66" s="90" t="s">
        <v>27</v>
      </c>
      <c r="M66" s="83" t="s">
        <v>54</v>
      </c>
      <c r="N66" s="84" t="n">
        <f aca="false">'Автоматизированный расчет'!C42</f>
        <v>275.896046311122</v>
      </c>
      <c r="O66" s="100"/>
      <c r="P66" s="86" t="n">
        <f aca="false">O66/N66</f>
        <v>0</v>
      </c>
    </row>
    <row r="67" customFormat="false" ht="15" hidden="false" customHeight="true" outlineLevel="0" collapsed="false">
      <c r="E67" s="90" t="s">
        <v>22</v>
      </c>
      <c r="F67" s="83" t="s">
        <v>55</v>
      </c>
      <c r="G67" s="84" t="n">
        <f aca="false">'Автоматизированный расчет'!C43</f>
        <v>275.896046311122</v>
      </c>
      <c r="H67" s="101" t="n">
        <v>1395</v>
      </c>
      <c r="I67" s="86" t="n">
        <f aca="false">H67/G67</f>
        <v>5.05625223214286</v>
      </c>
      <c r="L67" s="90" t="s">
        <v>22</v>
      </c>
      <c r="M67" s="83" t="s">
        <v>55</v>
      </c>
      <c r="N67" s="84" t="n">
        <f aca="false">'Автоматизированный расчет'!C43</f>
        <v>275.896046311122</v>
      </c>
      <c r="O67" s="101"/>
      <c r="P67" s="86" t="n">
        <f aca="false">O67/N67</f>
        <v>0</v>
      </c>
    </row>
    <row r="68" customFormat="false" ht="15" hidden="false" customHeight="true" outlineLevel="0" collapsed="false">
      <c r="E68" s="90" t="s">
        <v>29</v>
      </c>
      <c r="F68" s="83" t="s">
        <v>56</v>
      </c>
      <c r="G68" s="84" t="n">
        <f aca="false">'Автоматизированный расчет'!C44</f>
        <v>173.913043478261</v>
      </c>
      <c r="H68" s="100" t="n">
        <v>870</v>
      </c>
      <c r="I68" s="86" t="n">
        <f aca="false">H68/G68</f>
        <v>5.0025</v>
      </c>
      <c r="L68" s="90" t="s">
        <v>29</v>
      </c>
      <c r="M68" s="83" t="s">
        <v>56</v>
      </c>
      <c r="N68" s="84" t="n">
        <f aca="false">'Автоматизированный расчет'!C44</f>
        <v>173.913043478261</v>
      </c>
      <c r="O68" s="100"/>
      <c r="P68" s="86" t="n">
        <f aca="false">O68/N68</f>
        <v>0</v>
      </c>
    </row>
    <row r="69" customFormat="false" ht="15" hidden="false" customHeight="true" outlineLevel="0" collapsed="false">
      <c r="E69" s="90" t="s">
        <v>33</v>
      </c>
      <c r="F69" s="83" t="s">
        <v>57</v>
      </c>
      <c r="G69" s="84" t="n">
        <f aca="false">'Автоматизированный расчет'!C45</f>
        <v>277.837863820992</v>
      </c>
      <c r="H69" s="101" t="n">
        <v>1395</v>
      </c>
      <c r="I69" s="86" t="n">
        <f aca="false">H69/G69</f>
        <v>5.02091392733563</v>
      </c>
      <c r="L69" s="90" t="s">
        <v>33</v>
      </c>
      <c r="M69" s="83" t="s">
        <v>57</v>
      </c>
      <c r="N69" s="84" t="n">
        <f aca="false">'Автоматизированный расчет'!C45</f>
        <v>277.837863820992</v>
      </c>
      <c r="O69" s="101"/>
      <c r="P69" s="86" t="n">
        <f aca="false">O69/N69</f>
        <v>0</v>
      </c>
    </row>
    <row r="70" customFormat="false" ht="15" hidden="false" customHeight="true" outlineLevel="0" collapsed="false">
      <c r="E70" s="90" t="s">
        <v>31</v>
      </c>
      <c r="F70" s="83" t="s">
        <v>58</v>
      </c>
      <c r="G70" s="84" t="n">
        <f aca="false">'Автоматизированный расчет'!C46</f>
        <v>74.0740740740741</v>
      </c>
      <c r="H70" s="101" t="n">
        <v>390</v>
      </c>
      <c r="I70" s="86" t="n">
        <f aca="false">H70/G70</f>
        <v>5.265</v>
      </c>
      <c r="L70" s="90" t="s">
        <v>31</v>
      </c>
      <c r="M70" s="83" t="s">
        <v>58</v>
      </c>
      <c r="N70" s="84" t="n">
        <f aca="false">'Автоматизированный расчет'!C46</f>
        <v>74.0740740740741</v>
      </c>
      <c r="O70" s="101"/>
      <c r="P70" s="86" t="n">
        <f aca="false">O70/N70</f>
        <v>0</v>
      </c>
    </row>
    <row r="71" customFormat="false" ht="15" hidden="false" customHeight="true" outlineLevel="0" collapsed="false">
      <c r="E71" s="90" t="s">
        <v>25</v>
      </c>
      <c r="F71" s="83" t="s">
        <v>59</v>
      </c>
      <c r="G71" s="84" t="n">
        <f aca="false">'Автоматизированный расчет'!C47</f>
        <v>325.081958309181</v>
      </c>
      <c r="H71" s="101" t="n">
        <v>1650</v>
      </c>
      <c r="I71" s="86" t="n">
        <f aca="false">H71/G71</f>
        <v>5.07564310422514</v>
      </c>
      <c r="L71" s="90" t="s">
        <v>25</v>
      </c>
      <c r="M71" s="83" t="s">
        <v>59</v>
      </c>
      <c r="N71" s="84" t="n">
        <f aca="false">'Автоматизированный расчет'!C47</f>
        <v>325.081958309181</v>
      </c>
      <c r="O71" s="101"/>
      <c r="P71" s="86" t="n">
        <f aca="false">O71/N71</f>
        <v>0</v>
      </c>
    </row>
    <row r="72" customFormat="false" ht="15" hidden="false" customHeight="true" outlineLevel="0" collapsed="false">
      <c r="E72" s="90" t="s">
        <v>34</v>
      </c>
      <c r="F72" s="83" t="s">
        <v>60</v>
      </c>
      <c r="G72" s="84" t="n">
        <f aca="false">'Автоматизированный расчет'!C48</f>
        <v>98.9010989010989</v>
      </c>
      <c r="H72" s="101" t="n">
        <v>480</v>
      </c>
      <c r="I72" s="86" t="n">
        <f aca="false">H72/G72</f>
        <v>4.85333333333333</v>
      </c>
      <c r="L72" s="90" t="s">
        <v>34</v>
      </c>
      <c r="M72" s="83" t="s">
        <v>60</v>
      </c>
      <c r="N72" s="84" t="n">
        <f aca="false">'Автоматизированный расчет'!C48</f>
        <v>98.9010989010989</v>
      </c>
      <c r="O72" s="101"/>
      <c r="P72" s="86" t="n">
        <f aca="false">O72/N72</f>
        <v>0</v>
      </c>
    </row>
    <row r="73" customFormat="false" ht="15" hidden="false" customHeight="true" outlineLevel="0" collapsed="false">
      <c r="E73" s="90" t="s">
        <v>35</v>
      </c>
      <c r="F73" s="83" t="s">
        <v>61</v>
      </c>
      <c r="G73" s="84" t="n">
        <f aca="false">'Автоматизированный расчет'!C49</f>
        <v>98.9010989010989</v>
      </c>
      <c r="H73" s="101" t="n">
        <v>480</v>
      </c>
      <c r="I73" s="86" t="n">
        <f aca="false">H73/G73</f>
        <v>4.85333333333333</v>
      </c>
      <c r="L73" s="90" t="s">
        <v>35</v>
      </c>
      <c r="M73" s="83" t="s">
        <v>61</v>
      </c>
      <c r="N73" s="84" t="n">
        <f aca="false">'Автоматизированный расчет'!C49</f>
        <v>98.9010989010989</v>
      </c>
      <c r="O73" s="101"/>
      <c r="P73" s="86" t="n">
        <f aca="false">O73/N73</f>
        <v>0</v>
      </c>
    </row>
    <row r="74" customFormat="false" ht="15" hidden="false" customHeight="true" outlineLevel="0" collapsed="false">
      <c r="E74" s="90" t="s">
        <v>36</v>
      </c>
      <c r="F74" s="83" t="s">
        <v>62</v>
      </c>
      <c r="G74" s="84" t="n">
        <f aca="false">'Автоматизированный расчет'!C50</f>
        <v>98.9010989010989</v>
      </c>
      <c r="H74" s="101" t="n">
        <v>480</v>
      </c>
      <c r="I74" s="86" t="n">
        <f aca="false">H74/G74</f>
        <v>4.85333333333333</v>
      </c>
      <c r="L74" s="90" t="s">
        <v>36</v>
      </c>
      <c r="M74" s="83" t="s">
        <v>62</v>
      </c>
      <c r="N74" s="84" t="n">
        <f aca="false">'Автоматизированный расчет'!C50</f>
        <v>98.9010989010989</v>
      </c>
      <c r="O74" s="101"/>
      <c r="P74" s="86" t="n">
        <f aca="false">O74/N74</f>
        <v>0</v>
      </c>
    </row>
    <row r="75" customFormat="false" ht="15" hidden="false" customHeight="true" outlineLevel="0" collapsed="false">
      <c r="E75" s="90" t="s">
        <v>121</v>
      </c>
      <c r="F75" s="99"/>
      <c r="G75" s="95" t="n">
        <f aca="false">SUM(G63:G74)</f>
        <v>2958.18014277301</v>
      </c>
      <c r="H75" s="101" t="n">
        <v>14835</v>
      </c>
      <c r="I75" s="86" t="n">
        <f aca="false">H75/G75</f>
        <v>5.01490757290177</v>
      </c>
      <c r="L75" s="90" t="s">
        <v>121</v>
      </c>
      <c r="M75" s="99"/>
      <c r="N75" s="95" t="n">
        <f aca="false">SUM(N63:N74)</f>
        <v>2958.18014277301</v>
      </c>
      <c r="O75" s="101"/>
      <c r="P75" s="86" t="n">
        <f aca="false">O75/N75</f>
        <v>0</v>
      </c>
    </row>
    <row r="79" customFormat="false" ht="15" hidden="false" customHeight="true" outlineLevel="0" collapsed="false">
      <c r="E79" s="80" t="s">
        <v>226</v>
      </c>
      <c r="F79" s="80"/>
      <c r="G79" s="80"/>
      <c r="H79" s="80"/>
      <c r="I79" s="80"/>
      <c r="L79" s="80" t="s">
        <v>226</v>
      </c>
      <c r="M79" s="80"/>
      <c r="N79" s="80"/>
      <c r="O79" s="80"/>
      <c r="P79" s="80"/>
    </row>
    <row r="81" customFormat="false" ht="15" hidden="false" customHeight="true" outlineLevel="0" collapsed="false">
      <c r="E81" s="81" t="s">
        <v>217</v>
      </c>
      <c r="F81" s="81" t="s">
        <v>218</v>
      </c>
      <c r="G81" s="81" t="s">
        <v>219</v>
      </c>
      <c r="H81" s="81" t="s">
        <v>220</v>
      </c>
      <c r="I81" s="81" t="s">
        <v>221</v>
      </c>
      <c r="L81" s="81" t="s">
        <v>217</v>
      </c>
      <c r="M81" s="81" t="s">
        <v>218</v>
      </c>
      <c r="N81" s="81" t="s">
        <v>219</v>
      </c>
      <c r="O81" s="81" t="s">
        <v>220</v>
      </c>
      <c r="P81" s="81" t="s">
        <v>221</v>
      </c>
    </row>
    <row r="82" customFormat="false" ht="15" hidden="false" customHeight="true" outlineLevel="0" collapsed="false">
      <c r="E82" s="82" t="s">
        <v>20</v>
      </c>
      <c r="F82" s="83" t="s">
        <v>51</v>
      </c>
      <c r="G82" s="84" t="n">
        <f aca="false">'Автоматизированный расчет'!C39</f>
        <v>525.966060043141</v>
      </c>
      <c r="H82" s="100" t="n">
        <v>2099</v>
      </c>
      <c r="I82" s="86" t="n">
        <f aca="false">H82/G82</f>
        <v>3.99075179837238</v>
      </c>
      <c r="L82" s="82" t="s">
        <v>20</v>
      </c>
      <c r="M82" s="83" t="s">
        <v>51</v>
      </c>
      <c r="N82" s="84" t="n">
        <f aca="false">'Автоматизированный расчет'!C39</f>
        <v>525.966060043141</v>
      </c>
      <c r="O82" s="100"/>
      <c r="P82" s="86" t="n">
        <f aca="false">O82/N82</f>
        <v>0</v>
      </c>
    </row>
    <row r="83" customFormat="false" ht="15" hidden="false" customHeight="true" outlineLevel="0" collapsed="false">
      <c r="E83" s="90" t="s">
        <v>21</v>
      </c>
      <c r="F83" s="83" t="s">
        <v>52</v>
      </c>
      <c r="G83" s="84" t="n">
        <f aca="false">'Автоматизированный расчет'!C40</f>
        <v>427.064961142042</v>
      </c>
      <c r="H83" s="100" t="n">
        <v>1705</v>
      </c>
      <c r="I83" s="86" t="n">
        <f aca="false">H83/G83</f>
        <v>3.99236686484545</v>
      </c>
      <c r="L83" s="90" t="s">
        <v>21</v>
      </c>
      <c r="M83" s="83" t="s">
        <v>52</v>
      </c>
      <c r="N83" s="84" t="n">
        <f aca="false">'Автоматизированный расчет'!C40</f>
        <v>427.064961142042</v>
      </c>
      <c r="O83" s="100"/>
      <c r="P83" s="86" t="n">
        <f aca="false">O83/N83</f>
        <v>0</v>
      </c>
    </row>
    <row r="84" customFormat="false" ht="15" hidden="false" customHeight="true" outlineLevel="0" collapsed="false">
      <c r="E84" s="91" t="s">
        <v>24</v>
      </c>
      <c r="F84" s="83" t="s">
        <v>53</v>
      </c>
      <c r="G84" s="84" t="n">
        <f aca="false">'Автоматизированный расчет'!C41</f>
        <v>305.746792579779</v>
      </c>
      <c r="H84" s="100" t="n">
        <v>1217</v>
      </c>
      <c r="I84" s="86" t="n">
        <f aca="false">H84/G84</f>
        <v>3.98041788020539</v>
      </c>
      <c r="L84" s="91" t="s">
        <v>24</v>
      </c>
      <c r="M84" s="83" t="s">
        <v>53</v>
      </c>
      <c r="N84" s="84" t="n">
        <f aca="false">'Автоматизированный расчет'!C41</f>
        <v>305.746792579779</v>
      </c>
      <c r="O84" s="100"/>
      <c r="P84" s="86" t="n">
        <f aca="false">O84/N84</f>
        <v>0</v>
      </c>
    </row>
    <row r="85" customFormat="false" ht="15" hidden="false" customHeight="true" outlineLevel="0" collapsed="false">
      <c r="E85" s="90" t="s">
        <v>27</v>
      </c>
      <c r="F85" s="83" t="s">
        <v>54</v>
      </c>
      <c r="G85" s="84" t="n">
        <f aca="false">'Автоматизированный расчет'!C42</f>
        <v>275.896046311122</v>
      </c>
      <c r="H85" s="100" t="n">
        <v>1097</v>
      </c>
      <c r="I85" s="86" t="n">
        <f aca="false">H85/G85</f>
        <v>3.97613526785714</v>
      </c>
      <c r="L85" s="90" t="s">
        <v>27</v>
      </c>
      <c r="M85" s="83" t="s">
        <v>54</v>
      </c>
      <c r="N85" s="84" t="n">
        <f aca="false">'Автоматизированный расчет'!C42</f>
        <v>275.896046311122</v>
      </c>
      <c r="O85" s="100"/>
      <c r="P85" s="86" t="n">
        <f aca="false">O85/N85</f>
        <v>0</v>
      </c>
    </row>
    <row r="86" customFormat="false" ht="15" hidden="false" customHeight="true" outlineLevel="0" collapsed="false">
      <c r="E86" s="90" t="s">
        <v>22</v>
      </c>
      <c r="F86" s="83" t="s">
        <v>55</v>
      </c>
      <c r="G86" s="84" t="n">
        <f aca="false">'Автоматизированный расчет'!C43</f>
        <v>275.896046311122</v>
      </c>
      <c r="H86" s="101" t="n">
        <v>1099</v>
      </c>
      <c r="I86" s="86" t="n">
        <f aca="false">H86/G86</f>
        <v>3.983384375</v>
      </c>
      <c r="L86" s="90" t="s">
        <v>22</v>
      </c>
      <c r="M86" s="83" t="s">
        <v>55</v>
      </c>
      <c r="N86" s="84" t="n">
        <f aca="false">'Автоматизированный расчет'!C43</f>
        <v>275.896046311122</v>
      </c>
      <c r="O86" s="101"/>
      <c r="P86" s="86" t="n">
        <f aca="false">O86/N86</f>
        <v>0</v>
      </c>
    </row>
    <row r="87" customFormat="false" ht="15" hidden="false" customHeight="true" outlineLevel="0" collapsed="false">
      <c r="E87" s="90" t="s">
        <v>29</v>
      </c>
      <c r="F87" s="83" t="s">
        <v>56</v>
      </c>
      <c r="G87" s="84" t="n">
        <f aca="false">'Автоматизированный расчет'!C44</f>
        <v>173.913043478261</v>
      </c>
      <c r="H87" s="100" t="n">
        <v>691</v>
      </c>
      <c r="I87" s="86" t="n">
        <f aca="false">H87/G87</f>
        <v>3.97325</v>
      </c>
      <c r="L87" s="90" t="s">
        <v>29</v>
      </c>
      <c r="M87" s="83" t="s">
        <v>56</v>
      </c>
      <c r="N87" s="84" t="n">
        <f aca="false">'Автоматизированный расчет'!C44</f>
        <v>173.913043478261</v>
      </c>
      <c r="O87" s="100"/>
      <c r="P87" s="86" t="n">
        <f aca="false">O87/N87</f>
        <v>0</v>
      </c>
    </row>
    <row r="88" customFormat="false" ht="15" hidden="false" customHeight="true" outlineLevel="0" collapsed="false">
      <c r="E88" s="90" t="s">
        <v>33</v>
      </c>
      <c r="F88" s="83" t="s">
        <v>57</v>
      </c>
      <c r="G88" s="84" t="n">
        <f aca="false">'Автоматизированный расчет'!C45</f>
        <v>277.837863820992</v>
      </c>
      <c r="H88" s="101" t="n">
        <v>1109</v>
      </c>
      <c r="I88" s="86" t="n">
        <f aca="false">H88/G88</f>
        <v>3.9915365916955</v>
      </c>
      <c r="L88" s="90" t="s">
        <v>33</v>
      </c>
      <c r="M88" s="83" t="s">
        <v>57</v>
      </c>
      <c r="N88" s="84" t="n">
        <f aca="false">'Автоматизированный расчет'!C45</f>
        <v>277.837863820992</v>
      </c>
      <c r="O88" s="101"/>
      <c r="P88" s="86" t="n">
        <f aca="false">O88/N88</f>
        <v>0</v>
      </c>
    </row>
    <row r="89" customFormat="false" ht="15" hidden="false" customHeight="true" outlineLevel="0" collapsed="false">
      <c r="E89" s="90" t="s">
        <v>31</v>
      </c>
      <c r="F89" s="83" t="s">
        <v>58</v>
      </c>
      <c r="G89" s="84" t="n">
        <f aca="false">'Автоматизированный расчет'!C46</f>
        <v>74.0740740740741</v>
      </c>
      <c r="H89" s="101" t="n">
        <v>295</v>
      </c>
      <c r="I89" s="86" t="n">
        <f aca="false">H89/G89</f>
        <v>3.9825</v>
      </c>
      <c r="L89" s="90" t="s">
        <v>31</v>
      </c>
      <c r="M89" s="83" t="s">
        <v>58</v>
      </c>
      <c r="N89" s="84" t="n">
        <f aca="false">'Автоматизированный расчет'!C46</f>
        <v>74.0740740740741</v>
      </c>
      <c r="O89" s="101"/>
      <c r="P89" s="86" t="n">
        <f aca="false">O89/N89</f>
        <v>0</v>
      </c>
    </row>
    <row r="90" customFormat="false" ht="15" hidden="false" customHeight="true" outlineLevel="0" collapsed="false">
      <c r="E90" s="90" t="s">
        <v>25</v>
      </c>
      <c r="F90" s="83" t="s">
        <v>59</v>
      </c>
      <c r="G90" s="84" t="n">
        <f aca="false">'Автоматизированный расчет'!C47</f>
        <v>325.081958309181</v>
      </c>
      <c r="H90" s="101" t="n">
        <v>1296</v>
      </c>
      <c r="I90" s="86" t="n">
        <f aca="false">H90/G90</f>
        <v>3.98668694731866</v>
      </c>
      <c r="L90" s="90" t="s">
        <v>25</v>
      </c>
      <c r="M90" s="83" t="s">
        <v>59</v>
      </c>
      <c r="N90" s="84" t="n">
        <f aca="false">'Автоматизированный расчет'!C47</f>
        <v>325.081958309181</v>
      </c>
      <c r="O90" s="101"/>
      <c r="P90" s="86" t="n">
        <f aca="false">O90/N90</f>
        <v>0</v>
      </c>
    </row>
    <row r="91" customFormat="false" ht="15" hidden="false" customHeight="true" outlineLevel="0" collapsed="false">
      <c r="E91" s="90" t="s">
        <v>34</v>
      </c>
      <c r="F91" s="83" t="s">
        <v>60</v>
      </c>
      <c r="G91" s="84" t="n">
        <f aca="false">'Автоматизированный расчет'!C48</f>
        <v>98.9010989010989</v>
      </c>
      <c r="H91" s="101" t="n">
        <v>395</v>
      </c>
      <c r="I91" s="86" t="n">
        <f aca="false">H91/G91</f>
        <v>3.99388888888889</v>
      </c>
      <c r="L91" s="90" t="s">
        <v>34</v>
      </c>
      <c r="M91" s="83" t="s">
        <v>60</v>
      </c>
      <c r="N91" s="84" t="n">
        <f aca="false">'Автоматизированный расчет'!C48</f>
        <v>98.9010989010989</v>
      </c>
      <c r="O91" s="101"/>
      <c r="P91" s="86" t="n">
        <f aca="false">O91/N91</f>
        <v>0</v>
      </c>
    </row>
    <row r="92" customFormat="false" ht="15" hidden="false" customHeight="true" outlineLevel="0" collapsed="false">
      <c r="E92" s="90" t="s">
        <v>35</v>
      </c>
      <c r="F92" s="83" t="s">
        <v>61</v>
      </c>
      <c r="G92" s="84" t="n">
        <f aca="false">'Автоматизированный расчет'!C49</f>
        <v>98.9010989010989</v>
      </c>
      <c r="H92" s="101" t="n">
        <v>397</v>
      </c>
      <c r="I92" s="86" t="n">
        <f aca="false">H92/G92</f>
        <v>4.01411111111111</v>
      </c>
      <c r="L92" s="90" t="s">
        <v>35</v>
      </c>
      <c r="M92" s="83" t="s">
        <v>61</v>
      </c>
      <c r="N92" s="84" t="n">
        <f aca="false">'Автоматизированный расчет'!C49</f>
        <v>98.9010989010989</v>
      </c>
      <c r="O92" s="101"/>
      <c r="P92" s="86" t="n">
        <f aca="false">O92/N92</f>
        <v>0</v>
      </c>
    </row>
    <row r="93" customFormat="false" ht="15" hidden="false" customHeight="true" outlineLevel="0" collapsed="false">
      <c r="E93" s="90" t="s">
        <v>36</v>
      </c>
      <c r="F93" s="83" t="s">
        <v>62</v>
      </c>
      <c r="G93" s="84" t="n">
        <f aca="false">'Автоматизированный расчет'!C50</f>
        <v>98.9010989010989</v>
      </c>
      <c r="H93" s="101" t="n">
        <v>398</v>
      </c>
      <c r="I93" s="86" t="n">
        <f aca="false">H93/G93</f>
        <v>4.02422222222222</v>
      </c>
      <c r="L93" s="90" t="s">
        <v>36</v>
      </c>
      <c r="M93" s="83" t="s">
        <v>62</v>
      </c>
      <c r="N93" s="84" t="n">
        <f aca="false">'Автоматизированный расчет'!C50</f>
        <v>98.9010989010989</v>
      </c>
      <c r="O93" s="101"/>
      <c r="P93" s="86" t="n">
        <f aca="false">O93/N93</f>
        <v>0</v>
      </c>
    </row>
    <row r="94" customFormat="false" ht="15" hidden="false" customHeight="true" outlineLevel="0" collapsed="false">
      <c r="E94" s="90" t="s">
        <v>121</v>
      </c>
      <c r="F94" s="99"/>
      <c r="G94" s="95" t="n">
        <f aca="false">SUM(G82:G93)</f>
        <v>2958.18014277301</v>
      </c>
      <c r="H94" s="101" t="n">
        <v>11798</v>
      </c>
      <c r="I94" s="86" t="n">
        <f aca="false">H94/G94</f>
        <v>3.9882628611456</v>
      </c>
      <c r="L94" s="90" t="s">
        <v>121</v>
      </c>
      <c r="M94" s="99"/>
      <c r="N94" s="95" t="n">
        <f aca="false">SUM(N82:N93)</f>
        <v>2958.18014277301</v>
      </c>
      <c r="O94" s="101"/>
      <c r="P94" s="86" t="n">
        <f aca="false">O94/N94</f>
        <v>0</v>
      </c>
    </row>
    <row r="1048576" customFormat="false" ht="15" hidden="false" customHeight="false" outlineLevel="0" collapsed="false"/>
  </sheetData>
  <mergeCells count="10">
    <mergeCell ref="E3:I3"/>
    <mergeCell ref="L3:P3"/>
    <mergeCell ref="E22:I22"/>
    <mergeCell ref="L22:P22"/>
    <mergeCell ref="E41:I41"/>
    <mergeCell ref="L41:P41"/>
    <mergeCell ref="E60:I60"/>
    <mergeCell ref="L60:P60"/>
    <mergeCell ref="E79:I79"/>
    <mergeCell ref="L79:P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5930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Назар Грехов</dc:creator>
  <dc:description/>
  <dc:language>ru-RU</dc:language>
  <cp:lastModifiedBy/>
  <dcterms:modified xsi:type="dcterms:W3CDTF">2025-05-27T16:26:21Z</dcterms:modified>
  <cp:revision>133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